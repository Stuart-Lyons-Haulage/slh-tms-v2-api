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Waitrose\SupChain\DevSup\Shared\Primary\Primary\Backhaul\Leyland trunk booking - Stuart Lyons\2026\"/>
    </mc:Choice>
  </mc:AlternateContent>
  <xr:revisionPtr revIDLastSave="0" documentId="13_ncr:1_{B9E0A33D-C7DD-4954-AA5F-1062AA9D0D60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Sheet1" sheetId="1" r:id="rId1"/>
  </sheets>
  <externalReferences>
    <externalReference r:id="rId2"/>
  </externalReferences>
  <definedNames>
    <definedName name="Company">'[1]Master Details'!$F$1:$F$17</definedName>
    <definedName name="Customer">'[1]Master Details'!$A:$A</definedName>
    <definedName name="Destination">'[1]Master Details'!$H$1:$H$110</definedName>
    <definedName name="_xlnm.Print_Area" localSheetId="0">Sheet1!$A$1:$O$39</definedName>
  </definedNames>
  <calcPr calcId="191029"/>
</workbook>
</file>

<file path=xl/calcChain.xml><?xml version="1.0" encoding="utf-8"?>
<calcChain xmlns="http://schemas.openxmlformats.org/spreadsheetml/2006/main">
  <c r="C26" i="1" l="1"/>
  <c r="D26" i="1"/>
  <c r="E26" i="1"/>
  <c r="F26" i="1"/>
  <c r="G26" i="1"/>
  <c r="H26" i="1"/>
  <c r="I26" i="1"/>
  <c r="J26" i="1"/>
  <c r="K26" i="1"/>
  <c r="L26" i="1"/>
  <c r="M26" i="1"/>
  <c r="N26" i="1"/>
  <c r="O26" i="1"/>
  <c r="B26" i="1"/>
  <c r="B4" i="1" l="1"/>
  <c r="C39" i="1" l="1"/>
  <c r="D39" i="1"/>
  <c r="E39" i="1"/>
  <c r="F39" i="1"/>
  <c r="G39" i="1"/>
  <c r="H39" i="1"/>
  <c r="I39" i="1"/>
  <c r="J39" i="1"/>
  <c r="K39" i="1"/>
  <c r="L39" i="1"/>
  <c r="M39" i="1"/>
  <c r="N39" i="1"/>
  <c r="O39" i="1"/>
  <c r="B39" i="1"/>
  <c r="F17" i="1" l="1"/>
  <c r="D17" i="1"/>
  <c r="C17" i="1"/>
  <c r="E17" i="1"/>
  <c r="G17" i="1"/>
  <c r="H17" i="1"/>
  <c r="I17" i="1"/>
  <c r="J17" i="1"/>
  <c r="K17" i="1"/>
  <c r="L17" i="1"/>
  <c r="M17" i="1"/>
  <c r="N17" i="1"/>
  <c r="O17" i="1"/>
  <c r="B17" i="1"/>
  <c r="H41" i="1" l="1"/>
  <c r="E28" i="1" l="1"/>
  <c r="G28" i="1"/>
  <c r="B28" i="1"/>
  <c r="D28" i="1"/>
  <c r="F28" i="1"/>
  <c r="O28" i="1"/>
  <c r="N28" i="1"/>
  <c r="I28" i="1"/>
  <c r="C28" i="1"/>
  <c r="B41" i="1"/>
  <c r="M28" i="1"/>
  <c r="L28" i="1"/>
  <c r="K28" i="1"/>
  <c r="J28" i="1"/>
  <c r="H28" i="1"/>
  <c r="D41" i="1"/>
  <c r="E41" i="1"/>
  <c r="F41" i="1"/>
  <c r="G41" i="1"/>
  <c r="C41" i="1" l="1"/>
  <c r="I41" i="1"/>
  <c r="J41" i="1"/>
  <c r="K41" i="1"/>
  <c r="L41" i="1"/>
  <c r="M41" i="1"/>
  <c r="N41" i="1"/>
  <c r="O41" i="1"/>
  <c r="D4" i="1" l="1"/>
  <c r="F4" i="1" s="1"/>
  <c r="H4" i="1" s="1"/>
  <c r="A32" i="1" l="1"/>
  <c r="J4" i="1"/>
  <c r="L4" i="1" s="1"/>
  <c r="N4" i="1" s="1"/>
  <c r="B32" i="1" l="1"/>
  <c r="D32" i="1" s="1"/>
  <c r="F32" i="1" s="1"/>
  <c r="H32" i="1" s="1"/>
  <c r="J32" i="1" s="1"/>
  <c r="L32" i="1" s="1"/>
  <c r="N32" i="1" s="1"/>
</calcChain>
</file>

<file path=xl/sharedStrings.xml><?xml version="1.0" encoding="utf-8"?>
<sst xmlns="http://schemas.openxmlformats.org/spreadsheetml/2006/main" count="60" uniqueCount="40">
  <si>
    <t>ESTIMATES</t>
  </si>
  <si>
    <t>Required Sunday to Saturday</t>
  </si>
  <si>
    <t>LEYLAND TRUNKS W1</t>
  </si>
  <si>
    <t>SUNDAY</t>
  </si>
  <si>
    <t>MONDAY</t>
  </si>
  <si>
    <t>TUESDAY</t>
  </si>
  <si>
    <t>WEDNESDAY</t>
  </si>
  <si>
    <t>THURSDAY</t>
  </si>
  <si>
    <t>FRIDAY</t>
  </si>
  <si>
    <t>SATURDAY</t>
  </si>
  <si>
    <t>LEYLAND TRUNK W3</t>
  </si>
  <si>
    <t>Seafood &amp; Eat It W1</t>
  </si>
  <si>
    <t>New England Seafoods W1</t>
  </si>
  <si>
    <t>8 Seafoods LTD W1</t>
  </si>
  <si>
    <t>Lyons Seafood W1</t>
  </si>
  <si>
    <t>22.00 Depart - W3 Only</t>
  </si>
  <si>
    <t xml:space="preserve"> 08.00 &amp; 09.00 Depart - W1</t>
  </si>
  <si>
    <t>Pallets</t>
  </si>
  <si>
    <t>Spaces</t>
  </si>
  <si>
    <t>Hurds Organic</t>
  </si>
  <si>
    <t>Bighams (Wells)</t>
  </si>
  <si>
    <t>Dina foods W1  (frv) (Bread)</t>
  </si>
  <si>
    <t>Total Wave 3</t>
  </si>
  <si>
    <t>Combined total (W1+W3)</t>
  </si>
  <si>
    <t>Greenyard Flowers</t>
  </si>
  <si>
    <t>Ultrapharm  W1  (Bread)</t>
  </si>
  <si>
    <t>R&amp;G</t>
  </si>
  <si>
    <t xml:space="preserve"> </t>
  </si>
  <si>
    <t>Granarolo</t>
  </si>
  <si>
    <t>Signature Flatbread</t>
  </si>
  <si>
    <t>New Forest</t>
  </si>
  <si>
    <t>Dalehead Andover</t>
  </si>
  <si>
    <t>Wave 1 Chilled Total</t>
  </si>
  <si>
    <t>Wave 1 FRV Total</t>
  </si>
  <si>
    <t>Wave 1 Chilled &amp; FRV Total</t>
  </si>
  <si>
    <t>Signature</t>
  </si>
  <si>
    <t>Leckford Milk</t>
  </si>
  <si>
    <t>Bombay Halwa</t>
  </si>
  <si>
    <t>ReNourish</t>
  </si>
  <si>
    <t>Symplicity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</si>
</sst>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34998626667073579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0" borderId="0" xfId="0" applyFont="1"/>
    <xf numFmtId="0" fontId="2" fillId="3" borderId="1" xfId="0" applyFont="1" applyFill="1" applyBorder="1"/>
    <xf numFmtId="0" fontId="2" fillId="3" borderId="2" xfId="0" applyFont="1" applyFill="1" applyBorder="1"/>
    <xf numFmtId="0" fontId="3" fillId="3" borderId="2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2" fillId="6" borderId="1" xfId="0" applyFont="1" applyFill="1" applyBorder="1"/>
    <xf numFmtId="0" fontId="1" fillId="6" borderId="2" xfId="0" applyFont="1" applyFill="1" applyBorder="1"/>
    <xf numFmtId="0" fontId="1" fillId="6" borderId="3" xfId="0" applyFont="1" applyFill="1" applyBorder="1"/>
    <xf numFmtId="0" fontId="1" fillId="0" borderId="0" xfId="0" applyFont="1" applyFill="1" applyBorder="1"/>
    <xf numFmtId="0" fontId="5" fillId="0" borderId="0" xfId="0" applyFont="1" applyFill="1" applyBorder="1" applyAlignment="1">
      <alignment horizontal="center"/>
    </xf>
    <xf numFmtId="0" fontId="4" fillId="5" borderId="1" xfId="0" applyFont="1" applyFill="1" applyBorder="1"/>
    <xf numFmtId="0" fontId="0" fillId="0" borderId="0" xfId="0" applyFont="1"/>
    <xf numFmtId="0" fontId="1" fillId="0" borderId="9" xfId="0" applyFont="1" applyFill="1" applyBorder="1" applyAlignment="1">
      <alignment horizontal="center"/>
    </xf>
    <xf numFmtId="0" fontId="6" fillId="5" borderId="14" xfId="0" applyFont="1" applyFill="1" applyBorder="1" applyAlignment="1">
      <alignment horizontal="center"/>
    </xf>
    <xf numFmtId="0" fontId="5" fillId="6" borderId="2" xfId="0" applyFont="1" applyFill="1" applyBorder="1"/>
    <xf numFmtId="0" fontId="1" fillId="6" borderId="2" xfId="0" applyFont="1" applyFill="1" applyBorder="1" applyAlignment="1">
      <alignment horizontal="left"/>
    </xf>
    <xf numFmtId="0" fontId="7" fillId="0" borderId="0" xfId="0" applyFont="1" applyFill="1" applyBorder="1" applyAlignment="1">
      <alignment horizontal="center"/>
    </xf>
    <xf numFmtId="0" fontId="0" fillId="2" borderId="0" xfId="0" applyFont="1" applyFill="1"/>
    <xf numFmtId="0" fontId="0" fillId="0" borderId="0" xfId="0" applyFont="1" applyBorder="1"/>
    <xf numFmtId="0" fontId="0" fillId="3" borderId="2" xfId="0" applyFont="1" applyFill="1" applyBorder="1"/>
    <xf numFmtId="0" fontId="0" fillId="0" borderId="0" xfId="0" applyFont="1" applyFill="1" applyBorder="1"/>
    <xf numFmtId="0" fontId="0" fillId="0" borderId="0" xfId="0" applyFont="1" applyFill="1"/>
    <xf numFmtId="0" fontId="0" fillId="0" borderId="0" xfId="0" applyFont="1" applyAlignment="1">
      <alignment horizontal="right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2" fontId="0" fillId="0" borderId="0" xfId="0" applyNumberFormat="1" applyFont="1" applyAlignment="1">
      <alignment horizontal="left"/>
    </xf>
    <xf numFmtId="0" fontId="0" fillId="0" borderId="0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2" fontId="0" fillId="0" borderId="0" xfId="0" applyNumberFormat="1" applyFont="1" applyBorder="1" applyAlignment="1">
      <alignment horizontal="left"/>
    </xf>
    <xf numFmtId="0" fontId="8" fillId="4" borderId="5" xfId="0" applyFont="1" applyFill="1" applyBorder="1"/>
    <xf numFmtId="0" fontId="9" fillId="0" borderId="9" xfId="0" applyFont="1" applyFill="1" applyBorder="1" applyAlignment="1">
      <alignment horizontal="center"/>
    </xf>
    <xf numFmtId="0" fontId="9" fillId="8" borderId="9" xfId="0" applyFont="1" applyFill="1" applyBorder="1" applyAlignment="1">
      <alignment horizontal="center"/>
    </xf>
    <xf numFmtId="0" fontId="8" fillId="4" borderId="4" xfId="0" applyFont="1" applyFill="1" applyBorder="1"/>
    <xf numFmtId="164" fontId="8" fillId="4" borderId="16" xfId="0" applyNumberFormat="1" applyFont="1" applyFill="1" applyBorder="1" applyAlignment="1">
      <alignment horizontal="left"/>
    </xf>
    <xf numFmtId="0" fontId="9" fillId="0" borderId="13" xfId="0" applyFont="1" applyFill="1" applyBorder="1" applyAlignment="1">
      <alignment horizontal="center"/>
    </xf>
    <xf numFmtId="1" fontId="0" fillId="0" borderId="0" xfId="0" applyNumberFormat="1" applyFont="1" applyFill="1"/>
    <xf numFmtId="0" fontId="9" fillId="0" borderId="7" xfId="0" applyFont="1" applyFill="1" applyBorder="1"/>
    <xf numFmtId="0" fontId="9" fillId="8" borderId="7" xfId="0" applyFont="1" applyFill="1" applyBorder="1"/>
    <xf numFmtId="0" fontId="9" fillId="0" borderId="0" xfId="0" applyFont="1" applyFill="1" applyBorder="1"/>
    <xf numFmtId="0" fontId="9" fillId="0" borderId="0" xfId="0" applyFont="1" applyFill="1" applyBorder="1" applyAlignment="1">
      <alignment horizontal="center"/>
    </xf>
    <xf numFmtId="0" fontId="9" fillId="8" borderId="17" xfId="0" applyFont="1" applyFill="1" applyBorder="1"/>
    <xf numFmtId="0" fontId="9" fillId="8" borderId="19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6" fillId="5" borderId="21" xfId="0" applyFont="1" applyFill="1" applyBorder="1" applyAlignment="1">
      <alignment horizontal="center"/>
    </xf>
    <xf numFmtId="0" fontId="11" fillId="9" borderId="15" xfId="0" applyFont="1" applyFill="1" applyBorder="1"/>
    <xf numFmtId="0" fontId="11" fillId="9" borderId="1" xfId="0" applyFont="1" applyFill="1" applyBorder="1" applyAlignment="1">
      <alignment horizontal="center"/>
    </xf>
    <xf numFmtId="0" fontId="11" fillId="9" borderId="15" xfId="0" applyFont="1" applyFill="1" applyBorder="1" applyAlignment="1">
      <alignment horizontal="center"/>
    </xf>
    <xf numFmtId="0" fontId="6" fillId="5" borderId="1" xfId="0" applyFont="1" applyFill="1" applyBorder="1"/>
    <xf numFmtId="0" fontId="7" fillId="5" borderId="2" xfId="0" applyFont="1" applyFill="1" applyBorder="1" applyAlignment="1">
      <alignment horizontal="center"/>
    </xf>
    <xf numFmtId="0" fontId="4" fillId="0" borderId="0" xfId="0" applyFont="1" applyFill="1" applyBorder="1"/>
    <xf numFmtId="0" fontId="6" fillId="0" borderId="0" xfId="0" applyFont="1" applyFill="1" applyBorder="1" applyAlignment="1">
      <alignment horizontal="center"/>
    </xf>
    <xf numFmtId="0" fontId="4" fillId="10" borderId="1" xfId="0" applyFont="1" applyFill="1" applyBorder="1"/>
    <xf numFmtId="0" fontId="6" fillId="10" borderId="2" xfId="0" applyFont="1" applyFill="1" applyBorder="1" applyAlignment="1">
      <alignment horizontal="center"/>
    </xf>
    <xf numFmtId="0" fontId="6" fillId="10" borderId="3" xfId="0" applyFont="1" applyFill="1" applyBorder="1" applyAlignment="1">
      <alignment horizontal="center"/>
    </xf>
    <xf numFmtId="0" fontId="9" fillId="0" borderId="12" xfId="0" applyFont="1" applyFill="1" applyBorder="1"/>
    <xf numFmtId="0" fontId="9" fillId="7" borderId="9" xfId="0" applyFont="1" applyFill="1" applyBorder="1" applyAlignment="1">
      <alignment horizontal="center"/>
    </xf>
    <xf numFmtId="0" fontId="9" fillId="7" borderId="24" xfId="0" applyFont="1" applyFill="1" applyBorder="1"/>
    <xf numFmtId="0" fontId="9" fillId="7" borderId="25" xfId="0" applyFont="1" applyFill="1" applyBorder="1"/>
    <xf numFmtId="164" fontId="8" fillId="4" borderId="5" xfId="0" applyNumberFormat="1" applyFont="1" applyFill="1" applyBorder="1" applyAlignment="1">
      <alignment horizontal="left"/>
    </xf>
    <xf numFmtId="164" fontId="8" fillId="4" borderId="17" xfId="0" applyNumberFormat="1" applyFont="1" applyFill="1" applyBorder="1" applyAlignment="1">
      <alignment horizontal="left"/>
    </xf>
    <xf numFmtId="14" fontId="10" fillId="4" borderId="19" xfId="0" applyNumberFormat="1" applyFont="1" applyFill="1" applyBorder="1" applyAlignment="1">
      <alignment horizontal="center"/>
    </xf>
    <xf numFmtId="14" fontId="10" fillId="4" borderId="18" xfId="0" applyNumberFormat="1" applyFont="1" applyFill="1" applyBorder="1" applyAlignment="1">
      <alignment horizontal="center"/>
    </xf>
    <xf numFmtId="0" fontId="1" fillId="7" borderId="9" xfId="0" applyFont="1" applyFill="1" applyBorder="1" applyAlignment="1">
      <alignment horizontal="center"/>
    </xf>
    <xf numFmtId="0" fontId="9" fillId="8" borderId="12" xfId="0" applyFont="1" applyFill="1" applyBorder="1"/>
    <xf numFmtId="0" fontId="9" fillId="0" borderId="28" xfId="0" applyFont="1" applyFill="1" applyBorder="1" applyAlignment="1">
      <alignment horizontal="center"/>
    </xf>
    <xf numFmtId="0" fontId="9" fillId="0" borderId="29" xfId="0" applyFont="1" applyFill="1" applyBorder="1"/>
    <xf numFmtId="0" fontId="9" fillId="0" borderId="30" xfId="0" applyFont="1" applyFill="1" applyBorder="1"/>
    <xf numFmtId="0" fontId="9" fillId="0" borderId="31" xfId="0" applyFont="1" applyFill="1" applyBorder="1"/>
    <xf numFmtId="0" fontId="9" fillId="0" borderId="33" xfId="0" applyFont="1" applyFill="1" applyBorder="1" applyAlignment="1">
      <alignment horizontal="center"/>
    </xf>
    <xf numFmtId="0" fontId="9" fillId="0" borderId="8" xfId="0" applyFont="1" applyFill="1" applyBorder="1" applyAlignment="1">
      <alignment horizontal="center"/>
    </xf>
    <xf numFmtId="0" fontId="1" fillId="0" borderId="8" xfId="0" applyFont="1" applyFill="1" applyBorder="1" applyAlignment="1">
      <alignment horizontal="center"/>
    </xf>
    <xf numFmtId="0" fontId="9" fillId="8" borderId="18" xfId="0" applyFont="1" applyFill="1" applyBorder="1" applyAlignment="1">
      <alignment horizontal="center"/>
    </xf>
    <xf numFmtId="0" fontId="9" fillId="8" borderId="8" xfId="0" applyFont="1" applyFill="1" applyBorder="1" applyAlignment="1">
      <alignment horizontal="center"/>
    </xf>
    <xf numFmtId="0" fontId="9" fillId="0" borderId="20" xfId="0" applyFont="1" applyFill="1" applyBorder="1" applyAlignment="1">
      <alignment horizontal="center"/>
    </xf>
    <xf numFmtId="0" fontId="9" fillId="8" borderId="33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0" fontId="9" fillId="0" borderId="26" xfId="0" applyFont="1" applyFill="1" applyBorder="1" applyAlignment="1">
      <alignment horizontal="center"/>
    </xf>
    <xf numFmtId="0" fontId="9" fillId="0" borderId="35" xfId="0" applyFont="1" applyFill="1" applyBorder="1"/>
    <xf numFmtId="0" fontId="9" fillId="0" borderId="36" xfId="0" applyFont="1" applyFill="1" applyBorder="1" applyAlignment="1">
      <alignment horizontal="center"/>
    </xf>
    <xf numFmtId="0" fontId="9" fillId="11" borderId="13" xfId="0" applyFont="1" applyFill="1" applyBorder="1" applyAlignment="1">
      <alignment horizontal="center"/>
    </xf>
    <xf numFmtId="0" fontId="9" fillId="11" borderId="20" xfId="0" applyFont="1" applyFill="1" applyBorder="1" applyAlignment="1">
      <alignment horizontal="center"/>
    </xf>
    <xf numFmtId="0" fontId="9" fillId="11" borderId="9" xfId="0" applyFont="1" applyFill="1" applyBorder="1" applyAlignment="1">
      <alignment horizontal="center"/>
    </xf>
    <xf numFmtId="0" fontId="9" fillId="11" borderId="8" xfId="0" applyFont="1" applyFill="1" applyBorder="1" applyAlignment="1">
      <alignment horizontal="center"/>
    </xf>
    <xf numFmtId="0" fontId="1" fillId="11" borderId="9" xfId="0" applyFont="1" applyFill="1" applyBorder="1" applyAlignment="1">
      <alignment horizontal="center"/>
    </xf>
    <xf numFmtId="0" fontId="9" fillId="11" borderId="36" xfId="0" applyFont="1" applyFill="1" applyBorder="1" applyAlignment="1">
      <alignment horizontal="center"/>
    </xf>
    <xf numFmtId="0" fontId="9" fillId="11" borderId="37" xfId="0" applyFont="1" applyFill="1" applyBorder="1" applyAlignment="1">
      <alignment horizontal="center"/>
    </xf>
    <xf numFmtId="0" fontId="9" fillId="0" borderId="32" xfId="0" applyFont="1" applyFill="1" applyBorder="1" applyAlignment="1">
      <alignment horizontal="center"/>
    </xf>
    <xf numFmtId="0" fontId="9" fillId="11" borderId="27" xfId="0" applyFont="1" applyFill="1" applyBorder="1" applyAlignment="1">
      <alignment horizontal="center"/>
    </xf>
    <xf numFmtId="0" fontId="9" fillId="11" borderId="19" xfId="0" applyFont="1" applyFill="1" applyBorder="1" applyAlignment="1">
      <alignment horizontal="center"/>
    </xf>
    <xf numFmtId="0" fontId="9" fillId="11" borderId="18" xfId="0" applyFont="1" applyFill="1" applyBorder="1" applyAlignment="1">
      <alignment horizontal="center"/>
    </xf>
    <xf numFmtId="0" fontId="9" fillId="11" borderId="33" xfId="0" applyFont="1" applyFill="1" applyBorder="1" applyAlignment="1">
      <alignment horizontal="center"/>
    </xf>
    <xf numFmtId="0" fontId="9" fillId="11" borderId="34" xfId="0" applyFont="1" applyFill="1" applyBorder="1" applyAlignment="1">
      <alignment horizontal="center"/>
    </xf>
    <xf numFmtId="0" fontId="8" fillId="11" borderId="8" xfId="0" applyFont="1" applyFill="1" applyBorder="1" applyAlignment="1">
      <alignment horizontal="center"/>
    </xf>
    <xf numFmtId="0" fontId="8" fillId="11" borderId="20" xfId="0" applyFont="1" applyFill="1" applyBorder="1" applyAlignment="1">
      <alignment horizontal="center"/>
    </xf>
    <xf numFmtId="14" fontId="8" fillId="4" borderId="26" xfId="0" applyNumberFormat="1" applyFont="1" applyFill="1" applyBorder="1" applyAlignment="1">
      <alignment horizontal="center"/>
    </xf>
    <xf numFmtId="14" fontId="8" fillId="4" borderId="6" xfId="0" applyNumberFormat="1" applyFont="1" applyFill="1" applyBorder="1" applyAlignment="1">
      <alignment horizontal="center"/>
    </xf>
    <xf numFmtId="14" fontId="8" fillId="4" borderId="0" xfId="0" applyNumberFormat="1" applyFont="1" applyFill="1" applyBorder="1" applyAlignment="1">
      <alignment horizontal="center"/>
    </xf>
    <xf numFmtId="14" fontId="8" fillId="4" borderId="11" xfId="0" applyNumberFormat="1" applyFont="1" applyFill="1" applyBorder="1" applyAlignment="1">
      <alignment horizontal="center"/>
    </xf>
    <xf numFmtId="14" fontId="8" fillId="4" borderId="5" xfId="0" applyNumberFormat="1" applyFont="1" applyFill="1" applyBorder="1" applyAlignment="1">
      <alignment horizontal="center"/>
    </xf>
    <xf numFmtId="14" fontId="8" fillId="4" borderId="10" xfId="0" applyNumberFormat="1" applyFont="1" applyFill="1" applyBorder="1" applyAlignment="1">
      <alignment horizontal="center"/>
    </xf>
    <xf numFmtId="14" fontId="8" fillId="4" borderId="22" xfId="0" applyNumberFormat="1" applyFont="1" applyFill="1" applyBorder="1" applyAlignment="1">
      <alignment horizontal="center"/>
    </xf>
    <xf numFmtId="14" fontId="8" fillId="4" borderId="23" xfId="0" applyNumberFormat="1" applyFont="1" applyFill="1" applyBorder="1" applyAlignment="1">
      <alignment horizontal="center"/>
    </xf>
    <xf numFmtId="0" fontId="0" fillId="0" borderId="6" xfId="0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7EA5D4"/>
      <color rgb="FFCCECFF"/>
      <color rgb="FF99CCFF"/>
      <color rgb="FF9999FF"/>
      <color rgb="FFB7E4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Silence\Downloads\Waitrose%20Collections%20Email%20figures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nsfer Data"/>
      <sheetName val="Collection"/>
      <sheetName val="Master Details"/>
    </sheetNames>
    <sheetDataSet>
      <sheetData sheetId="0"/>
      <sheetData sheetId="1">
        <row r="4">
          <cell r="A4"/>
        </row>
      </sheetData>
      <sheetData sheetId="2">
        <row r="1">
          <cell r="A1" t="str">
            <v>Besana Uk</v>
          </cell>
          <cell r="F1" t="str">
            <v>AA</v>
          </cell>
          <cell r="H1" t="str">
            <v>Aldi Bathgate</v>
          </cell>
        </row>
        <row r="2">
          <cell r="A2" t="str">
            <v>Berryworld</v>
          </cell>
          <cell r="F2" t="str">
            <v>DH</v>
          </cell>
          <cell r="H2" t="str">
            <v>Asda Bedford</v>
          </cell>
        </row>
        <row r="3">
          <cell r="A3" t="str">
            <v>Bradbury &amp; Sons</v>
          </cell>
          <cell r="F3" t="str">
            <v>DN</v>
          </cell>
          <cell r="H3" t="str">
            <v>Asda Bristol</v>
          </cell>
        </row>
        <row r="4">
          <cell r="A4" t="str">
            <v>Cake Bake</v>
          </cell>
          <cell r="F4" t="str">
            <v>EM</v>
          </cell>
          <cell r="H4" t="str">
            <v>Asda Erith</v>
          </cell>
        </row>
        <row r="5">
          <cell r="A5" t="str">
            <v>Crepe Cuisine</v>
          </cell>
          <cell r="F5" t="str">
            <v>GA</v>
          </cell>
          <cell r="H5" t="str">
            <v>Asda Falkirk</v>
          </cell>
        </row>
        <row r="6">
          <cell r="A6" t="str">
            <v>Capital Foods</v>
          </cell>
          <cell r="F6" t="str">
            <v>GB</v>
          </cell>
          <cell r="H6" t="str">
            <v>Asda Larne</v>
          </cell>
        </row>
        <row r="7">
          <cell r="A7" t="str">
            <v>Chapati Man</v>
          </cell>
          <cell r="F7" t="str">
            <v>GW</v>
          </cell>
          <cell r="H7" t="str">
            <v>Asda Lutterworth</v>
          </cell>
        </row>
        <row r="8">
          <cell r="A8" t="str">
            <v>Duchy Ambient</v>
          </cell>
          <cell r="F8" t="str">
            <v>HG</v>
          </cell>
          <cell r="H8" t="str">
            <v>Asda Skelmersdale</v>
          </cell>
        </row>
        <row r="9">
          <cell r="A9" t="str">
            <v>Delifrance</v>
          </cell>
          <cell r="F9" t="str">
            <v>LF</v>
          </cell>
          <cell r="H9" t="str">
            <v>Asda Wakefield</v>
          </cell>
        </row>
        <row r="10">
          <cell r="A10" t="str">
            <v>DHL Bellshill</v>
          </cell>
          <cell r="F10" t="str">
            <v>MR</v>
          </cell>
          <cell r="H10" t="str">
            <v>Asda Washington</v>
          </cell>
        </row>
        <row r="11">
          <cell r="A11" t="str">
            <v>Dunkleys</v>
          </cell>
          <cell r="F11" t="str">
            <v>MX</v>
          </cell>
          <cell r="H11" t="str">
            <v>Blakemores Willenhall</v>
          </cell>
        </row>
        <row r="12">
          <cell r="A12" t="str">
            <v>Duchy Original</v>
          </cell>
          <cell r="F12" t="str">
            <v>RB</v>
          </cell>
          <cell r="H12" t="str">
            <v>Blueberry</v>
          </cell>
        </row>
        <row r="13">
          <cell r="A13" t="str">
            <v>Dovecote Park Ltd</v>
          </cell>
          <cell r="F13" t="str">
            <v>RH</v>
          </cell>
          <cell r="H13" t="str">
            <v>Booker Hatfield</v>
          </cell>
        </row>
        <row r="14">
          <cell r="A14" t="str">
            <v>Deli Sante Ltd</v>
          </cell>
          <cell r="F14" t="str">
            <v>RO</v>
          </cell>
          <cell r="H14" t="str">
            <v>Booker Livingston</v>
          </cell>
        </row>
        <row r="15">
          <cell r="A15" t="str">
            <v>Express Cuisine</v>
          </cell>
          <cell r="F15" t="str">
            <v>RT</v>
          </cell>
          <cell r="H15" t="str">
            <v>Booths Preston</v>
          </cell>
        </row>
        <row r="16">
          <cell r="A16" t="str">
            <v>Ferndale Foods</v>
          </cell>
          <cell r="F16" t="str">
            <v>SD</v>
          </cell>
          <cell r="H16" t="str">
            <v>Brakes Fresh Glasgow</v>
          </cell>
        </row>
        <row r="17">
          <cell r="A17" t="str">
            <v>Fal Fish</v>
          </cell>
          <cell r="F17" t="str">
            <v>TC</v>
          </cell>
          <cell r="H17" t="str">
            <v>Brakes Fresh Grantham</v>
          </cell>
        </row>
        <row r="18">
          <cell r="A18" t="str">
            <v>Farne S&amp;T</v>
          </cell>
          <cell r="H18" t="str">
            <v>Budgens Wellingborough</v>
          </cell>
        </row>
        <row r="19">
          <cell r="A19" t="str">
            <v>Gerber Drinks</v>
          </cell>
          <cell r="H19" t="str">
            <v>Chef Connection</v>
          </cell>
        </row>
        <row r="20">
          <cell r="A20" t="str">
            <v>Greencore</v>
          </cell>
          <cell r="H20" t="str">
            <v>Co-Op Alferton</v>
          </cell>
        </row>
        <row r="21">
          <cell r="A21" t="str">
            <v>Greyfrairs</v>
          </cell>
          <cell r="H21" t="str">
            <v>Co-Op Birtley</v>
          </cell>
        </row>
        <row r="22">
          <cell r="A22" t="str">
            <v>Ginsters</v>
          </cell>
          <cell r="H22" t="str">
            <v>Co-Op Bridgewater</v>
          </cell>
        </row>
        <row r="23">
          <cell r="A23" t="str">
            <v>Hilton Meats</v>
          </cell>
          <cell r="H23" t="str">
            <v>Co-Op Bristol</v>
          </cell>
        </row>
        <row r="24">
          <cell r="A24" t="str">
            <v>Hygrade Foods Ltd</v>
          </cell>
          <cell r="H24" t="str">
            <v>Co-Op Cardinal</v>
          </cell>
        </row>
        <row r="25">
          <cell r="A25" t="str">
            <v>Innocent</v>
          </cell>
          <cell r="H25" t="str">
            <v>Co-Op Channel Islands Guernsey</v>
          </cell>
        </row>
        <row r="26">
          <cell r="A26" t="str">
            <v>JJ Tranfield</v>
          </cell>
          <cell r="H26" t="str">
            <v>Co-Op Channel Islands Jersey</v>
          </cell>
        </row>
        <row r="27">
          <cell r="A27" t="str">
            <v>J Robertson</v>
          </cell>
          <cell r="H27" t="str">
            <v>Co-Op Gillingham</v>
          </cell>
        </row>
        <row r="28">
          <cell r="A28" t="str">
            <v>Kensey Cream</v>
          </cell>
          <cell r="H28" t="str">
            <v>Co-Op Harthill</v>
          </cell>
        </row>
        <row r="29">
          <cell r="A29" t="str">
            <v>Kingdom</v>
          </cell>
          <cell r="H29" t="str">
            <v>Co-Op Leicester</v>
          </cell>
        </row>
        <row r="30">
          <cell r="A30" t="str">
            <v>Kensey Quiche</v>
          </cell>
          <cell r="H30" t="str">
            <v>Co-Op Ossett</v>
          </cell>
        </row>
        <row r="31">
          <cell r="A31" t="str">
            <v>Livesey Brothers</v>
          </cell>
          <cell r="H31" t="str">
            <v>Co-Op Oxford</v>
          </cell>
        </row>
        <row r="32">
          <cell r="A32" t="str">
            <v>Lactalis McLelland Ltd</v>
          </cell>
          <cell r="H32" t="str">
            <v>Co-Op Peterborough</v>
          </cell>
        </row>
        <row r="33">
          <cell r="A33" t="str">
            <v>Langage Farm</v>
          </cell>
          <cell r="H33" t="str">
            <v>Co-Op St Helens</v>
          </cell>
        </row>
        <row r="34">
          <cell r="A34" t="str">
            <v>Lloyd Maunder</v>
          </cell>
          <cell r="H34" t="str">
            <v>Co-Op Thurrock</v>
          </cell>
        </row>
        <row r="35">
          <cell r="A35" t="str">
            <v>Lyons Seafoods</v>
          </cell>
          <cell r="H35" t="str">
            <v>Costco Lutterworth</v>
          </cell>
        </row>
        <row r="36">
          <cell r="A36" t="str">
            <v>Monaghans Mushrooms</v>
          </cell>
          <cell r="H36" t="str">
            <v xml:space="preserve">Frozen Value Foods </v>
          </cell>
        </row>
        <row r="37">
          <cell r="A37" t="str">
            <v>MacSween</v>
          </cell>
          <cell r="H37" t="str">
            <v>Ginsters Bristol</v>
          </cell>
        </row>
        <row r="38">
          <cell r="A38" t="str">
            <v>Organic Patisserie</v>
          </cell>
          <cell r="H38" t="str">
            <v>J Sainsburys Waltham Point</v>
          </cell>
        </row>
        <row r="39">
          <cell r="A39" t="str">
            <v>Oaklands</v>
          </cell>
          <cell r="H39" t="str">
            <v>J.Sainsburys Allington</v>
          </cell>
        </row>
        <row r="40">
          <cell r="A40" t="str">
            <v>Olivers</v>
          </cell>
          <cell r="H40" t="str">
            <v>J.Sainsburys Basingstoke</v>
          </cell>
        </row>
        <row r="41">
          <cell r="A41" t="str">
            <v>Peter Green</v>
          </cell>
          <cell r="H41" t="str">
            <v>J.Sainsburys East Kilbride</v>
          </cell>
        </row>
        <row r="42">
          <cell r="A42" t="str">
            <v>Plough To Plate</v>
          </cell>
          <cell r="H42" t="str">
            <v>J.Sainsburys Emerson Green</v>
          </cell>
        </row>
        <row r="43">
          <cell r="A43" t="str">
            <v>WW Petit Pain</v>
          </cell>
          <cell r="H43" t="str">
            <v>J.Sainsburys Feltham</v>
          </cell>
        </row>
        <row r="44">
          <cell r="A44" t="str">
            <v>Rachels Dairy</v>
          </cell>
          <cell r="H44" t="str">
            <v>J.Sainsburys Hams Hall</v>
          </cell>
        </row>
        <row r="45">
          <cell r="A45" t="str">
            <v>Roddas Cream</v>
          </cell>
          <cell r="H45" t="str">
            <v>J.Sainsburys Haydock</v>
          </cell>
        </row>
        <row r="46">
          <cell r="A46" t="str">
            <v>Roach Foods</v>
          </cell>
          <cell r="H46" t="str">
            <v xml:space="preserve">J.Sainsburys Middleton </v>
          </cell>
        </row>
        <row r="47">
          <cell r="A47" t="str">
            <v>River Mill</v>
          </cell>
          <cell r="H47" t="str">
            <v>J.Sainsburys Northampton</v>
          </cell>
        </row>
        <row r="48">
          <cell r="A48" t="str">
            <v>Rachaels Organic</v>
          </cell>
          <cell r="H48" t="str">
            <v>J.Sainsburys Sherborn</v>
          </cell>
        </row>
        <row r="49">
          <cell r="A49" t="str">
            <v>Snackaway</v>
          </cell>
          <cell r="H49" t="str">
            <v>J.Sainsburys St. Albans</v>
          </cell>
        </row>
        <row r="50">
          <cell r="A50" t="str">
            <v>SEF</v>
          </cell>
          <cell r="H50" t="str">
            <v>James Hall Preston</v>
          </cell>
        </row>
        <row r="51">
          <cell r="A51" t="str">
            <v>Sargents</v>
          </cell>
          <cell r="H51" t="str">
            <v xml:space="preserve">Kettleby </v>
          </cell>
        </row>
        <row r="52">
          <cell r="A52" t="str">
            <v>Sun Valley</v>
          </cell>
          <cell r="H52" t="str">
            <v xml:space="preserve">Kettleby Foods - Resturant </v>
          </cell>
        </row>
        <row r="53">
          <cell r="A53" t="str">
            <v>Tamar</v>
          </cell>
          <cell r="H53" t="str">
            <v>Londis Andover</v>
          </cell>
        </row>
        <row r="54">
          <cell r="A54" t="str">
            <v>Tideford Foods</v>
          </cell>
          <cell r="H54" t="str">
            <v>Londis Erith</v>
          </cell>
        </row>
        <row r="55">
          <cell r="A55" t="str">
            <v>True Foods Ltd</v>
          </cell>
          <cell r="H55" t="str">
            <v>Londis Pontefract</v>
          </cell>
        </row>
        <row r="56">
          <cell r="A56" t="str">
            <v>Tulip Limited</v>
          </cell>
          <cell r="H56" t="str">
            <v>Londis South Elmshall</v>
          </cell>
        </row>
        <row r="57">
          <cell r="A57" t="str">
            <v>WC Rowe</v>
          </cell>
          <cell r="H57" t="str">
            <v>Londis Thames Mead</v>
          </cell>
        </row>
        <row r="58">
          <cell r="A58" t="str">
            <v>Woodhead</v>
          </cell>
          <cell r="H58" t="str">
            <v>M&amp;S Thatcham</v>
          </cell>
        </row>
        <row r="59">
          <cell r="A59" t="str">
            <v>WWLogistics</v>
          </cell>
          <cell r="H59" t="str">
            <v>Melton Foods</v>
          </cell>
        </row>
        <row r="60">
          <cell r="A60" t="str">
            <v>Westerleigh Park</v>
          </cell>
          <cell r="H60" t="str">
            <v>Melton Mowbray</v>
          </cell>
        </row>
        <row r="61">
          <cell r="A61" t="str">
            <v>WC Smokehouse</v>
          </cell>
          <cell r="H61" t="str">
            <v xml:space="preserve">Morrisons Bellshill </v>
          </cell>
        </row>
        <row r="62">
          <cell r="A62" t="str">
            <v>Wild Water</v>
          </cell>
          <cell r="H62" t="str">
            <v>Morrisons Droitwich</v>
          </cell>
        </row>
        <row r="63">
          <cell r="A63" t="str">
            <v>Wellpak Uk Ltd</v>
          </cell>
          <cell r="H63" t="str">
            <v xml:space="preserve">Morrisons Kettering </v>
          </cell>
        </row>
        <row r="64">
          <cell r="A64" t="str">
            <v>Westaway Sausages</v>
          </cell>
          <cell r="H64" t="str">
            <v xml:space="preserve">Morrisons Northwich </v>
          </cell>
        </row>
        <row r="65">
          <cell r="A65" t="str">
            <v>Yorkshire Soup</v>
          </cell>
          <cell r="H65" t="str">
            <v>Morrisons Sittingbourne</v>
          </cell>
        </row>
        <row r="66">
          <cell r="A66" t="str">
            <v>Yeo Valley</v>
          </cell>
          <cell r="H66" t="str">
            <v xml:space="preserve">Morrisons Stockton </v>
          </cell>
        </row>
        <row r="67">
          <cell r="A67"/>
          <cell r="H67" t="str">
            <v>Morrisons Wakefield</v>
          </cell>
        </row>
        <row r="68">
          <cell r="A68"/>
          <cell r="H68" t="str">
            <v>Morrisons Willand</v>
          </cell>
        </row>
        <row r="69">
          <cell r="A69"/>
          <cell r="H69" t="str">
            <v>Morrisons Yate</v>
          </cell>
        </row>
        <row r="70">
          <cell r="A70"/>
          <cell r="H70" t="str">
            <v>Netto Daventry</v>
          </cell>
        </row>
        <row r="71">
          <cell r="A71"/>
          <cell r="H71" t="str">
            <v>Netto Elmshall</v>
          </cell>
        </row>
        <row r="72">
          <cell r="A72"/>
          <cell r="H72" t="str">
            <v>Nisa Harlow</v>
          </cell>
        </row>
        <row r="73">
          <cell r="A73"/>
          <cell r="H73" t="str">
            <v>Nisa Stoke</v>
          </cell>
        </row>
        <row r="74">
          <cell r="A74"/>
          <cell r="H74" t="str">
            <v>Oaklands Consolidation</v>
          </cell>
        </row>
        <row r="75">
          <cell r="A75"/>
          <cell r="H75" t="str">
            <v>Oaklands/ Highgrove</v>
          </cell>
        </row>
        <row r="76">
          <cell r="A76"/>
          <cell r="H76" t="str">
            <v>P&amp;H Aylesford</v>
          </cell>
        </row>
        <row r="77">
          <cell r="A77"/>
          <cell r="H77" t="str">
            <v>P&amp;H Coventry</v>
          </cell>
        </row>
        <row r="78">
          <cell r="A78"/>
          <cell r="H78" t="str">
            <v>P&amp;H Fareham</v>
          </cell>
        </row>
        <row r="79">
          <cell r="A79"/>
          <cell r="H79" t="str">
            <v>P&amp;H Glasgow</v>
          </cell>
        </row>
        <row r="80">
          <cell r="A80"/>
          <cell r="H80" t="str">
            <v>Richmonds North Allerton</v>
          </cell>
        </row>
        <row r="81">
          <cell r="A81"/>
          <cell r="H81" t="str">
            <v>Rowcliffe Paddock Wood</v>
          </cell>
        </row>
        <row r="82">
          <cell r="A82"/>
          <cell r="H82" t="str">
            <v>Somerfield Cardinal</v>
          </cell>
        </row>
        <row r="83">
          <cell r="A83"/>
          <cell r="H83" t="str">
            <v>Somerfield Huntworth</v>
          </cell>
        </row>
        <row r="84">
          <cell r="A84"/>
          <cell r="H84" t="str">
            <v>Somerfield Pitreavie</v>
          </cell>
        </row>
        <row r="85">
          <cell r="A85"/>
          <cell r="H85" t="str">
            <v>Somerfield St.Helens</v>
          </cell>
        </row>
        <row r="86">
          <cell r="A86"/>
          <cell r="H86" t="str">
            <v>Somerfield Tewkesbury</v>
          </cell>
        </row>
        <row r="87">
          <cell r="A87"/>
          <cell r="H87" t="str">
            <v>Spar Appleby Westward</v>
          </cell>
        </row>
        <row r="88">
          <cell r="A88"/>
          <cell r="H88" t="str">
            <v>Spar Caper Glamorgan</v>
          </cell>
        </row>
        <row r="89">
          <cell r="A89"/>
          <cell r="H89" t="str">
            <v xml:space="preserve">Sutcliffe Catering Magor </v>
          </cell>
        </row>
        <row r="90">
          <cell r="A90"/>
          <cell r="H90" t="str">
            <v>Tamar Foods</v>
          </cell>
        </row>
        <row r="91">
          <cell r="A91"/>
          <cell r="H91" t="str">
            <v>Tesco Avonmouth</v>
          </cell>
        </row>
        <row r="92">
          <cell r="A92"/>
          <cell r="H92" t="str">
            <v xml:space="preserve">Tesco Chepstow </v>
          </cell>
        </row>
        <row r="93">
          <cell r="A93"/>
          <cell r="H93" t="str">
            <v xml:space="preserve">Tesco Didcot </v>
          </cell>
        </row>
        <row r="94">
          <cell r="A94"/>
          <cell r="H94" t="str">
            <v xml:space="preserve">Tesco Doncaster </v>
          </cell>
        </row>
        <row r="95">
          <cell r="A95"/>
          <cell r="H95" t="str">
            <v>Tesco Gloucester</v>
          </cell>
        </row>
        <row r="96">
          <cell r="A96"/>
          <cell r="H96" t="str">
            <v xml:space="preserve">Tesco Harlow </v>
          </cell>
        </row>
        <row r="97">
          <cell r="A97"/>
          <cell r="H97" t="str">
            <v xml:space="preserve">Tesco Hinckley </v>
          </cell>
        </row>
        <row r="98">
          <cell r="A98"/>
          <cell r="H98" t="str">
            <v>Tesco Ireland Belfast</v>
          </cell>
        </row>
        <row r="99">
          <cell r="A99"/>
          <cell r="H99" t="str">
            <v>Tesco Ireland Dublin</v>
          </cell>
        </row>
        <row r="100">
          <cell r="A100"/>
          <cell r="H100" t="str">
            <v xml:space="preserve">Tesco Livingston </v>
          </cell>
        </row>
        <row r="101">
          <cell r="A101"/>
          <cell r="H101" t="str">
            <v>Tesco Middleton</v>
          </cell>
        </row>
        <row r="102">
          <cell r="A102"/>
          <cell r="H102" t="str">
            <v xml:space="preserve">Tesco Peterborough </v>
          </cell>
        </row>
        <row r="103">
          <cell r="A103"/>
          <cell r="H103" t="str">
            <v>Tesco Snodland</v>
          </cell>
        </row>
        <row r="104">
          <cell r="A104"/>
          <cell r="H104" t="str">
            <v>Tesco Southampton</v>
          </cell>
        </row>
        <row r="105">
          <cell r="H105" t="str">
            <v>Uniq Foods</v>
          </cell>
        </row>
        <row r="106">
          <cell r="H106" t="str">
            <v>Waitrose Aylesford</v>
          </cell>
        </row>
        <row r="107">
          <cell r="H107" t="str">
            <v xml:space="preserve">Waitrose Bardon </v>
          </cell>
        </row>
        <row r="108">
          <cell r="H108" t="str">
            <v>Waitrose Bracknell</v>
          </cell>
        </row>
        <row r="109">
          <cell r="H109" t="str">
            <v>Waitrose Brinklow</v>
          </cell>
        </row>
        <row r="110">
          <cell r="H110" t="str">
            <v>Waitrose Ocado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44"/>
  <sheetViews>
    <sheetView tabSelected="1" zoomScale="80" zoomScaleNormal="80" workbookViewId="0">
      <selection activeCell="C23" sqref="C23"/>
    </sheetView>
  </sheetViews>
  <sheetFormatPr defaultColWidth="9.453125" defaultRowHeight="14.5" x14ac:dyDescent="0.35"/>
  <cols>
    <col min="1" max="1" width="27.453125" style="13" bestFit="1" customWidth="1"/>
    <col min="2" max="2" width="12" style="13" customWidth="1"/>
    <col min="3" max="3" width="13.1796875" style="13" customWidth="1"/>
    <col min="4" max="6" width="9.453125" style="13" customWidth="1"/>
    <col min="7" max="7" width="9" style="13" customWidth="1"/>
    <col min="8" max="8" width="9.453125" style="13" customWidth="1"/>
    <col min="9" max="9" width="10.54296875" style="1" customWidth="1"/>
    <col min="10" max="10" width="9.453125" style="13"/>
    <col min="11" max="11" width="9.54296875" style="1" customWidth="1"/>
    <col min="12" max="12" width="9.453125" style="13"/>
    <col min="13" max="13" width="9.453125" style="1"/>
    <col min="14" max="14" width="9.453125" style="13"/>
    <col min="15" max="15" width="9.453125" style="1"/>
    <col min="16" max="16" width="9.453125" style="20" customWidth="1"/>
    <col min="17" max="20" width="9.453125" style="13" customWidth="1"/>
    <col min="21" max="16384" width="9.453125" style="13"/>
  </cols>
  <sheetData>
    <row r="1" spans="1:24" ht="15" thickBot="1" x14ac:dyDescent="0.4">
      <c r="A1" s="19" t="s">
        <v>0</v>
      </c>
    </row>
    <row r="2" spans="1:24" ht="19.5" customHeight="1" thickBot="1" x14ac:dyDescent="0.4">
      <c r="A2" s="2" t="s">
        <v>16</v>
      </c>
      <c r="B2" s="3"/>
      <c r="C2" s="3" t="s">
        <v>1</v>
      </c>
      <c r="D2" s="4"/>
      <c r="E2" s="21"/>
      <c r="F2" s="21"/>
      <c r="G2" s="21"/>
      <c r="H2" s="21"/>
      <c r="I2" s="5"/>
      <c r="J2" s="21"/>
      <c r="K2" s="5"/>
      <c r="L2" s="21"/>
      <c r="M2" s="5"/>
      <c r="N2" s="21"/>
      <c r="O2" s="6"/>
    </row>
    <row r="3" spans="1:24" ht="15" thickBot="1" x14ac:dyDescent="0.4">
      <c r="A3" s="31" t="s">
        <v>2</v>
      </c>
      <c r="B3" s="100" t="s">
        <v>3</v>
      </c>
      <c r="C3" s="97"/>
      <c r="D3" s="100" t="s">
        <v>4</v>
      </c>
      <c r="E3" s="97"/>
      <c r="F3" s="100" t="s">
        <v>5</v>
      </c>
      <c r="G3" s="97"/>
      <c r="H3" s="100" t="s">
        <v>6</v>
      </c>
      <c r="I3" s="97"/>
      <c r="J3" s="100" t="s">
        <v>7</v>
      </c>
      <c r="K3" s="104"/>
      <c r="L3" s="100" t="s">
        <v>8</v>
      </c>
      <c r="M3" s="97"/>
      <c r="N3" s="100" t="s">
        <v>9</v>
      </c>
      <c r="O3" s="97"/>
      <c r="P3" s="13"/>
    </row>
    <row r="4" spans="1:24" ht="15" thickBot="1" x14ac:dyDescent="0.4">
      <c r="A4" s="60">
        <v>46313</v>
      </c>
      <c r="B4" s="102">
        <f>SUM(A4)</f>
        <v>46313</v>
      </c>
      <c r="C4" s="103"/>
      <c r="D4" s="102">
        <f>SUM(B4+1)</f>
        <v>46314</v>
      </c>
      <c r="E4" s="103"/>
      <c r="F4" s="102">
        <f>SUM(D4+1)</f>
        <v>46315</v>
      </c>
      <c r="G4" s="103"/>
      <c r="H4" s="102">
        <f>SUM(F4+1)</f>
        <v>46316</v>
      </c>
      <c r="I4" s="103"/>
      <c r="J4" s="102">
        <f>SUM(H4+1)</f>
        <v>46317</v>
      </c>
      <c r="K4" s="103"/>
      <c r="L4" s="102">
        <f>SUM(J4+1)</f>
        <v>46318</v>
      </c>
      <c r="M4" s="103"/>
      <c r="N4" s="102">
        <f>SUM(L4+1)</f>
        <v>46319</v>
      </c>
      <c r="O4" s="103"/>
      <c r="P4" s="13"/>
    </row>
    <row r="5" spans="1:24" ht="12.75" customHeight="1" x14ac:dyDescent="0.35">
      <c r="A5" s="61" t="s">
        <v>27</v>
      </c>
      <c r="B5" s="62" t="s">
        <v>17</v>
      </c>
      <c r="C5" s="62" t="s">
        <v>18</v>
      </c>
      <c r="D5" s="62" t="s">
        <v>17</v>
      </c>
      <c r="E5" s="62" t="s">
        <v>18</v>
      </c>
      <c r="F5" s="62" t="s">
        <v>17</v>
      </c>
      <c r="G5" s="62" t="s">
        <v>18</v>
      </c>
      <c r="H5" s="62" t="s">
        <v>17</v>
      </c>
      <c r="I5" s="62" t="s">
        <v>18</v>
      </c>
      <c r="J5" s="62" t="s">
        <v>17</v>
      </c>
      <c r="K5" s="62" t="s">
        <v>18</v>
      </c>
      <c r="L5" s="62" t="s">
        <v>17</v>
      </c>
      <c r="M5" s="62" t="s">
        <v>18</v>
      </c>
      <c r="N5" s="62" t="s">
        <v>17</v>
      </c>
      <c r="O5" s="63" t="s">
        <v>18</v>
      </c>
      <c r="P5" s="13"/>
    </row>
    <row r="6" spans="1:24" ht="15.75" customHeight="1" x14ac:dyDescent="0.35">
      <c r="A6" s="38" t="s">
        <v>20</v>
      </c>
      <c r="B6" s="32">
        <v>5</v>
      </c>
      <c r="C6" s="32">
        <v>5</v>
      </c>
      <c r="D6" s="57">
        <v>4</v>
      </c>
      <c r="E6" s="57">
        <v>4</v>
      </c>
      <c r="F6" s="32">
        <v>3</v>
      </c>
      <c r="G6" s="32">
        <v>3</v>
      </c>
      <c r="H6" s="32">
        <v>5</v>
      </c>
      <c r="I6" s="32">
        <v>5</v>
      </c>
      <c r="J6" s="32">
        <v>5</v>
      </c>
      <c r="K6" s="32">
        <v>5</v>
      </c>
      <c r="L6" s="32">
        <v>5</v>
      </c>
      <c r="M6" s="32">
        <v>5</v>
      </c>
      <c r="N6" s="32">
        <v>5</v>
      </c>
      <c r="O6" s="71">
        <v>5</v>
      </c>
      <c r="X6" s="23"/>
    </row>
    <row r="7" spans="1:24" x14ac:dyDescent="0.35">
      <c r="A7" s="38" t="s">
        <v>19</v>
      </c>
      <c r="B7" s="83"/>
      <c r="C7" s="85"/>
      <c r="D7" s="32">
        <v>1</v>
      </c>
      <c r="E7" s="32">
        <v>1</v>
      </c>
      <c r="F7" s="32">
        <v>1</v>
      </c>
      <c r="G7" s="14">
        <v>1</v>
      </c>
      <c r="H7" s="57">
        <v>1</v>
      </c>
      <c r="I7" s="64">
        <v>1</v>
      </c>
      <c r="J7" s="32">
        <v>1</v>
      </c>
      <c r="K7" s="14">
        <v>1</v>
      </c>
      <c r="L7" s="57">
        <v>1</v>
      </c>
      <c r="M7" s="64">
        <v>1</v>
      </c>
      <c r="N7" s="32">
        <v>1</v>
      </c>
      <c r="O7" s="72">
        <v>1</v>
      </c>
      <c r="X7" s="23"/>
    </row>
    <row r="8" spans="1:24" x14ac:dyDescent="0.35">
      <c r="A8" s="38" t="s">
        <v>14</v>
      </c>
      <c r="B8" s="32">
        <v>2</v>
      </c>
      <c r="C8" s="32">
        <v>2</v>
      </c>
      <c r="D8" s="57">
        <v>2</v>
      </c>
      <c r="E8" s="57">
        <v>1</v>
      </c>
      <c r="F8" s="32">
        <v>2</v>
      </c>
      <c r="G8" s="32">
        <v>2</v>
      </c>
      <c r="H8" s="57">
        <v>2</v>
      </c>
      <c r="I8" s="57">
        <v>2</v>
      </c>
      <c r="J8" s="32">
        <v>2</v>
      </c>
      <c r="K8" s="32">
        <v>2</v>
      </c>
      <c r="L8" s="57">
        <v>2</v>
      </c>
      <c r="M8" s="57">
        <v>2</v>
      </c>
      <c r="N8" s="32">
        <v>1</v>
      </c>
      <c r="O8" s="71">
        <v>1</v>
      </c>
      <c r="X8" s="23"/>
    </row>
    <row r="9" spans="1:24" ht="15.75" customHeight="1" x14ac:dyDescent="0.35">
      <c r="A9" s="38" t="s">
        <v>12</v>
      </c>
      <c r="B9" s="32">
        <v>2</v>
      </c>
      <c r="C9" s="32">
        <v>2</v>
      </c>
      <c r="D9" s="32">
        <v>2</v>
      </c>
      <c r="E9" s="32">
        <v>2</v>
      </c>
      <c r="F9" s="14">
        <v>2</v>
      </c>
      <c r="G9" s="14">
        <v>2</v>
      </c>
      <c r="H9" s="14">
        <v>2</v>
      </c>
      <c r="I9" s="14">
        <v>2</v>
      </c>
      <c r="J9" s="14">
        <v>3</v>
      </c>
      <c r="K9" s="14">
        <v>3</v>
      </c>
      <c r="L9" s="32">
        <v>3</v>
      </c>
      <c r="M9" s="32">
        <v>3</v>
      </c>
      <c r="N9" s="32">
        <v>2</v>
      </c>
      <c r="O9" s="71">
        <v>2</v>
      </c>
      <c r="X9" s="23"/>
    </row>
    <row r="10" spans="1:24" x14ac:dyDescent="0.35">
      <c r="A10" s="38" t="s">
        <v>11</v>
      </c>
      <c r="B10" s="83"/>
      <c r="C10" s="83"/>
      <c r="D10" s="83"/>
      <c r="E10" s="83"/>
      <c r="F10" s="32">
        <v>1</v>
      </c>
      <c r="G10" s="32">
        <v>1</v>
      </c>
      <c r="H10" s="83"/>
      <c r="I10" s="83"/>
      <c r="J10" s="32">
        <v>1</v>
      </c>
      <c r="K10" s="32">
        <v>1</v>
      </c>
      <c r="L10" s="83"/>
      <c r="M10" s="83"/>
      <c r="N10" s="83"/>
      <c r="O10" s="84"/>
      <c r="X10" s="23"/>
    </row>
    <row r="11" spans="1:24" x14ac:dyDescent="0.35">
      <c r="A11" s="38" t="s">
        <v>35</v>
      </c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4"/>
      <c r="X11" s="23"/>
    </row>
    <row r="12" spans="1:24" x14ac:dyDescent="0.35">
      <c r="A12" s="68" t="s">
        <v>30</v>
      </c>
      <c r="B12" s="32">
        <v>3</v>
      </c>
      <c r="C12" s="32">
        <v>3</v>
      </c>
      <c r="D12" s="83"/>
      <c r="E12" s="83"/>
      <c r="F12" s="32">
        <v>3</v>
      </c>
      <c r="G12" s="32">
        <v>3</v>
      </c>
      <c r="H12" s="32">
        <v>3</v>
      </c>
      <c r="I12" s="32">
        <v>3</v>
      </c>
      <c r="J12" s="32">
        <v>3</v>
      </c>
      <c r="K12" s="32">
        <v>3</v>
      </c>
      <c r="L12" s="32">
        <v>3</v>
      </c>
      <c r="M12" s="32">
        <v>3</v>
      </c>
      <c r="N12" s="32">
        <v>3</v>
      </c>
      <c r="O12" s="71">
        <v>3</v>
      </c>
      <c r="U12" s="23"/>
    </row>
    <row r="13" spans="1:24" s="23" customFormat="1" ht="14.25" customHeight="1" x14ac:dyDescent="0.35">
      <c r="A13" s="38" t="s">
        <v>24</v>
      </c>
      <c r="B13" s="83"/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4"/>
      <c r="P13" s="22"/>
    </row>
    <row r="14" spans="1:24" s="23" customFormat="1" ht="14.25" customHeight="1" x14ac:dyDescent="0.35">
      <c r="A14" s="79" t="s">
        <v>39</v>
      </c>
      <c r="B14" s="86"/>
      <c r="C14" s="86"/>
      <c r="D14" s="80">
        <v>1</v>
      </c>
      <c r="E14" s="80">
        <v>1</v>
      </c>
      <c r="F14" s="86"/>
      <c r="G14" s="86"/>
      <c r="H14" s="86"/>
      <c r="I14" s="86"/>
      <c r="J14" s="86"/>
      <c r="K14" s="86"/>
      <c r="L14" s="80">
        <v>1</v>
      </c>
      <c r="M14" s="80">
        <v>1</v>
      </c>
      <c r="N14" s="86"/>
      <c r="O14" s="87"/>
      <c r="P14" s="22"/>
    </row>
    <row r="15" spans="1:24" s="23" customFormat="1" ht="14.25" customHeight="1" thickBot="1" x14ac:dyDescent="0.4">
      <c r="A15" s="56" t="s">
        <v>31</v>
      </c>
      <c r="B15" s="36">
        <v>4</v>
      </c>
      <c r="C15" s="36">
        <v>4</v>
      </c>
      <c r="D15" s="81"/>
      <c r="E15" s="81"/>
      <c r="F15" s="36">
        <v>3</v>
      </c>
      <c r="G15" s="36">
        <v>3</v>
      </c>
      <c r="H15" s="36">
        <v>3</v>
      </c>
      <c r="I15" s="36">
        <v>3</v>
      </c>
      <c r="J15" s="36">
        <v>4</v>
      </c>
      <c r="K15" s="36">
        <v>4</v>
      </c>
      <c r="L15" s="36">
        <v>3</v>
      </c>
      <c r="M15" s="36">
        <v>3</v>
      </c>
      <c r="N15" s="36">
        <v>3</v>
      </c>
      <c r="O15" s="75">
        <v>3</v>
      </c>
      <c r="P15" s="22"/>
      <c r="W15" s="37"/>
    </row>
    <row r="16" spans="1:24" s="23" customFormat="1" ht="14.25" customHeight="1" thickBot="1" x14ac:dyDescent="0.4">
      <c r="A16" s="40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22"/>
      <c r="W16" s="37"/>
    </row>
    <row r="17" spans="1:23" s="23" customFormat="1" ht="14.25" customHeight="1" thickBot="1" x14ac:dyDescent="0.4">
      <c r="A17" s="49" t="s">
        <v>32</v>
      </c>
      <c r="B17" s="50">
        <f t="shared" ref="B17:I17" si="0">SUM(B6:B15)</f>
        <v>16</v>
      </c>
      <c r="C17" s="50">
        <f t="shared" si="0"/>
        <v>16</v>
      </c>
      <c r="D17" s="50">
        <f t="shared" si="0"/>
        <v>10</v>
      </c>
      <c r="E17" s="50">
        <f t="shared" si="0"/>
        <v>9</v>
      </c>
      <c r="F17" s="50">
        <f t="shared" si="0"/>
        <v>15</v>
      </c>
      <c r="G17" s="50">
        <f t="shared" si="0"/>
        <v>15</v>
      </c>
      <c r="H17" s="50">
        <f t="shared" si="0"/>
        <v>16</v>
      </c>
      <c r="I17" s="50">
        <f t="shared" si="0"/>
        <v>16</v>
      </c>
      <c r="J17" s="50">
        <f t="shared" ref="J17:O17" si="1">SUM(J6:J15)</f>
        <v>19</v>
      </c>
      <c r="K17" s="50">
        <f t="shared" si="1"/>
        <v>19</v>
      </c>
      <c r="L17" s="50">
        <f t="shared" si="1"/>
        <v>18</v>
      </c>
      <c r="M17" s="50">
        <f t="shared" si="1"/>
        <v>18</v>
      </c>
      <c r="N17" s="50">
        <f t="shared" si="1"/>
        <v>15</v>
      </c>
      <c r="O17" s="50">
        <f t="shared" si="1"/>
        <v>15</v>
      </c>
      <c r="P17" s="22"/>
      <c r="W17" s="37"/>
    </row>
    <row r="18" spans="1:23" s="23" customFormat="1" ht="14.25" customHeight="1" thickBot="1" x14ac:dyDescent="0.4">
      <c r="A18" s="40"/>
      <c r="B18" s="77"/>
      <c r="C18" s="77"/>
      <c r="D18" s="77"/>
      <c r="E18" s="41"/>
      <c r="F18" s="41"/>
      <c r="G18" s="41"/>
      <c r="H18" s="41"/>
      <c r="I18" s="78"/>
      <c r="J18" s="77"/>
      <c r="K18" s="41"/>
      <c r="L18" s="41"/>
      <c r="M18" s="77"/>
      <c r="N18" s="41"/>
      <c r="O18" s="41"/>
      <c r="P18" s="22"/>
      <c r="W18" s="37"/>
    </row>
    <row r="19" spans="1:23" s="23" customFormat="1" ht="14.25" customHeight="1" x14ac:dyDescent="0.35">
      <c r="A19" s="42" t="s">
        <v>26</v>
      </c>
      <c r="B19" s="76">
        <v>3</v>
      </c>
      <c r="C19" s="76">
        <v>3</v>
      </c>
      <c r="D19" s="76">
        <v>3</v>
      </c>
      <c r="E19" s="43">
        <v>3</v>
      </c>
      <c r="F19" s="43">
        <v>3</v>
      </c>
      <c r="G19" s="43">
        <v>3</v>
      </c>
      <c r="H19" s="43">
        <v>4</v>
      </c>
      <c r="I19" s="43">
        <v>4</v>
      </c>
      <c r="J19" s="76">
        <v>4</v>
      </c>
      <c r="K19" s="43">
        <v>4</v>
      </c>
      <c r="L19" s="43">
        <v>5</v>
      </c>
      <c r="M19" s="76">
        <v>5</v>
      </c>
      <c r="N19" s="43">
        <v>3</v>
      </c>
      <c r="O19" s="73">
        <v>3</v>
      </c>
      <c r="P19" s="22"/>
      <c r="W19" s="37"/>
    </row>
    <row r="20" spans="1:23" s="23" customFormat="1" ht="14.25" customHeight="1" x14ac:dyDescent="0.35">
      <c r="A20" s="39" t="s">
        <v>25</v>
      </c>
      <c r="B20" s="33">
        <v>1</v>
      </c>
      <c r="C20" s="33">
        <v>1</v>
      </c>
      <c r="D20" s="33">
        <v>1</v>
      </c>
      <c r="E20" s="33">
        <v>1</v>
      </c>
      <c r="F20" s="33">
        <v>1</v>
      </c>
      <c r="G20" s="33">
        <v>1</v>
      </c>
      <c r="H20" s="33">
        <v>2</v>
      </c>
      <c r="I20" s="33">
        <v>2</v>
      </c>
      <c r="J20" s="33">
        <v>1</v>
      </c>
      <c r="K20" s="33">
        <v>1</v>
      </c>
      <c r="L20" s="33">
        <v>1</v>
      </c>
      <c r="M20" s="33">
        <v>1</v>
      </c>
      <c r="N20" s="33">
        <v>1</v>
      </c>
      <c r="O20" s="74">
        <v>1</v>
      </c>
      <c r="P20" s="22"/>
      <c r="W20" s="37"/>
    </row>
    <row r="21" spans="1:23" x14ac:dyDescent="0.35">
      <c r="A21" s="39" t="s">
        <v>29</v>
      </c>
      <c r="B21" s="33">
        <v>3</v>
      </c>
      <c r="C21" s="33">
        <v>3</v>
      </c>
      <c r="D21" s="33">
        <v>3</v>
      </c>
      <c r="E21" s="33">
        <v>3</v>
      </c>
      <c r="F21" s="33">
        <v>2</v>
      </c>
      <c r="G21" s="33">
        <v>2</v>
      </c>
      <c r="H21" s="33">
        <v>3</v>
      </c>
      <c r="I21" s="33">
        <v>3</v>
      </c>
      <c r="J21" s="33">
        <v>4</v>
      </c>
      <c r="K21" s="33">
        <v>4</v>
      </c>
      <c r="L21" s="33">
        <v>3</v>
      </c>
      <c r="M21" s="33">
        <v>3</v>
      </c>
      <c r="N21" s="33">
        <v>2</v>
      </c>
      <c r="O21" s="74">
        <v>2</v>
      </c>
      <c r="W21" s="23"/>
    </row>
    <row r="22" spans="1:23" x14ac:dyDescent="0.35">
      <c r="A22" s="39" t="s">
        <v>21</v>
      </c>
      <c r="B22" s="83"/>
      <c r="C22" s="83"/>
      <c r="D22" s="83"/>
      <c r="E22" s="83"/>
      <c r="F22" s="33">
        <v>1</v>
      </c>
      <c r="G22" s="33">
        <v>1</v>
      </c>
      <c r="H22" s="83"/>
      <c r="I22" s="83"/>
      <c r="J22" s="33">
        <v>1</v>
      </c>
      <c r="K22" s="33">
        <v>1</v>
      </c>
      <c r="L22" s="83"/>
      <c r="M22" s="83"/>
      <c r="N22" s="83"/>
      <c r="O22" s="84"/>
      <c r="W22" s="23"/>
    </row>
    <row r="23" spans="1:23" ht="15" thickBot="1" x14ac:dyDescent="0.4">
      <c r="A23" s="65" t="s">
        <v>30</v>
      </c>
      <c r="B23" s="81"/>
      <c r="C23" s="81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2"/>
    </row>
    <row r="25" spans="1:23" ht="15" thickBot="1" x14ac:dyDescent="0.4">
      <c r="B25" s="1"/>
      <c r="C25" s="1"/>
      <c r="D25" s="1"/>
      <c r="E25" s="1"/>
      <c r="F25" s="1"/>
      <c r="G25" s="1"/>
      <c r="H25" s="1"/>
      <c r="J25" s="1"/>
      <c r="L25" s="1"/>
      <c r="N25" s="1"/>
    </row>
    <row r="26" spans="1:23" ht="16" thickBot="1" x14ac:dyDescent="0.4">
      <c r="A26" s="12" t="s">
        <v>33</v>
      </c>
      <c r="B26" s="15">
        <f t="shared" ref="B26:I26" si="2">SUM(B19:B23)</f>
        <v>7</v>
      </c>
      <c r="C26" s="15">
        <f t="shared" si="2"/>
        <v>7</v>
      </c>
      <c r="D26" s="15">
        <f t="shared" si="2"/>
        <v>7</v>
      </c>
      <c r="E26" s="15">
        <f t="shared" si="2"/>
        <v>7</v>
      </c>
      <c r="F26" s="15">
        <f t="shared" si="2"/>
        <v>7</v>
      </c>
      <c r="G26" s="15">
        <f t="shared" si="2"/>
        <v>7</v>
      </c>
      <c r="H26" s="15">
        <f t="shared" si="2"/>
        <v>9</v>
      </c>
      <c r="I26" s="15">
        <f t="shared" si="2"/>
        <v>9</v>
      </c>
      <c r="J26" s="15">
        <f t="shared" ref="J26:O26" si="3">SUM(J19:J23)</f>
        <v>10</v>
      </c>
      <c r="K26" s="15">
        <f t="shared" si="3"/>
        <v>10</v>
      </c>
      <c r="L26" s="15">
        <f t="shared" si="3"/>
        <v>9</v>
      </c>
      <c r="M26" s="15">
        <f t="shared" si="3"/>
        <v>9</v>
      </c>
      <c r="N26" s="15">
        <f t="shared" si="3"/>
        <v>6</v>
      </c>
      <c r="O26" s="15">
        <f t="shared" si="3"/>
        <v>6</v>
      </c>
    </row>
    <row r="27" spans="1:23" ht="16" thickBot="1" x14ac:dyDescent="0.4">
      <c r="A27" s="51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</row>
    <row r="28" spans="1:23" ht="16" thickBot="1" x14ac:dyDescent="0.4">
      <c r="A28" s="53" t="s">
        <v>34</v>
      </c>
      <c r="B28" s="54">
        <f t="shared" ref="B28:I28" si="4">(B17+B26)</f>
        <v>23</v>
      </c>
      <c r="C28" s="54">
        <f t="shared" si="4"/>
        <v>23</v>
      </c>
      <c r="D28" s="54">
        <f t="shared" si="4"/>
        <v>17</v>
      </c>
      <c r="E28" s="54">
        <f t="shared" si="4"/>
        <v>16</v>
      </c>
      <c r="F28" s="54">
        <f t="shared" si="4"/>
        <v>22</v>
      </c>
      <c r="G28" s="54">
        <f t="shared" si="4"/>
        <v>22</v>
      </c>
      <c r="H28" s="54">
        <f t="shared" si="4"/>
        <v>25</v>
      </c>
      <c r="I28" s="54">
        <f t="shared" si="4"/>
        <v>25</v>
      </c>
      <c r="J28" s="54">
        <f t="shared" ref="J28:O28" si="5">(J17+J26)</f>
        <v>29</v>
      </c>
      <c r="K28" s="54">
        <f t="shared" si="5"/>
        <v>29</v>
      </c>
      <c r="L28" s="54">
        <f t="shared" si="5"/>
        <v>27</v>
      </c>
      <c r="M28" s="54">
        <f t="shared" si="5"/>
        <v>27</v>
      </c>
      <c r="N28" s="54">
        <f t="shared" si="5"/>
        <v>21</v>
      </c>
      <c r="O28" s="55">
        <f t="shared" si="5"/>
        <v>21</v>
      </c>
    </row>
    <row r="29" spans="1:23" ht="15" thickBot="1" x14ac:dyDescent="0.4">
      <c r="B29" s="1"/>
      <c r="C29" s="1"/>
      <c r="D29" s="1"/>
      <c r="E29" s="1"/>
      <c r="F29" s="1"/>
      <c r="G29" s="1"/>
      <c r="H29" s="1"/>
      <c r="J29" s="1"/>
      <c r="L29" s="1"/>
      <c r="N29" s="1"/>
    </row>
    <row r="30" spans="1:23" ht="15" thickBot="1" x14ac:dyDescent="0.4">
      <c r="A30" s="7" t="s">
        <v>15</v>
      </c>
      <c r="B30" s="16"/>
      <c r="C30" s="16"/>
      <c r="D30" s="16"/>
      <c r="E30" s="8"/>
      <c r="F30" s="16"/>
      <c r="G30" s="16"/>
      <c r="H30" s="16"/>
      <c r="I30" s="16"/>
      <c r="J30" s="16"/>
      <c r="K30" s="8"/>
      <c r="L30" s="8"/>
      <c r="M30" s="8"/>
      <c r="N30" s="17"/>
      <c r="O30" s="9"/>
      <c r="P30" s="13"/>
    </row>
    <row r="31" spans="1:23" x14ac:dyDescent="0.35">
      <c r="A31" s="34" t="s">
        <v>10</v>
      </c>
      <c r="B31" s="96" t="s">
        <v>3</v>
      </c>
      <c r="C31" s="97"/>
      <c r="D31" s="100" t="s">
        <v>4</v>
      </c>
      <c r="E31" s="97"/>
      <c r="F31" s="100" t="s">
        <v>5</v>
      </c>
      <c r="G31" s="97"/>
      <c r="H31" s="100" t="s">
        <v>6</v>
      </c>
      <c r="I31" s="97"/>
      <c r="J31" s="100" t="s">
        <v>7</v>
      </c>
      <c r="K31" s="97"/>
      <c r="L31" s="100" t="s">
        <v>8</v>
      </c>
      <c r="M31" s="97"/>
      <c r="N31" s="100" t="s">
        <v>9</v>
      </c>
      <c r="O31" s="97"/>
      <c r="P31" s="13"/>
    </row>
    <row r="32" spans="1:23" s="23" customFormat="1" ht="14.25" customHeight="1" thickBot="1" x14ac:dyDescent="0.4">
      <c r="A32" s="35">
        <f>A4</f>
        <v>46313</v>
      </c>
      <c r="B32" s="98">
        <f>SUM(A32)</f>
        <v>46313</v>
      </c>
      <c r="C32" s="99"/>
      <c r="D32" s="101">
        <f>SUM(B32+1)</f>
        <v>46314</v>
      </c>
      <c r="E32" s="99"/>
      <c r="F32" s="101">
        <f>SUM(D32+1)</f>
        <v>46315</v>
      </c>
      <c r="G32" s="99"/>
      <c r="H32" s="101">
        <f>SUM(F32+1)</f>
        <v>46316</v>
      </c>
      <c r="I32" s="99"/>
      <c r="J32" s="101">
        <f>SUM(H32+1)</f>
        <v>46317</v>
      </c>
      <c r="K32" s="99"/>
      <c r="L32" s="101">
        <f>SUM(J32+1)</f>
        <v>46318</v>
      </c>
      <c r="M32" s="99"/>
      <c r="N32" s="101">
        <f>SUM(L32+1)</f>
        <v>46319</v>
      </c>
      <c r="O32" s="99"/>
      <c r="P32" s="22"/>
    </row>
    <row r="33" spans="1:17" s="23" customFormat="1" ht="14.25" customHeight="1" x14ac:dyDescent="0.35">
      <c r="A33" s="67" t="s">
        <v>13</v>
      </c>
      <c r="B33" s="89"/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1"/>
      <c r="P33" s="22"/>
    </row>
    <row r="34" spans="1:17" ht="17.25" customHeight="1" x14ac:dyDescent="0.35">
      <c r="A34" s="69" t="s">
        <v>37</v>
      </c>
      <c r="B34" s="88">
        <v>2</v>
      </c>
      <c r="C34" s="70">
        <v>2</v>
      </c>
      <c r="D34" s="92"/>
      <c r="E34" s="92"/>
      <c r="F34" s="70">
        <v>2</v>
      </c>
      <c r="G34" s="70">
        <v>2</v>
      </c>
      <c r="H34" s="92"/>
      <c r="I34" s="92"/>
      <c r="J34" s="70">
        <v>1</v>
      </c>
      <c r="K34" s="70">
        <v>1</v>
      </c>
      <c r="L34" s="70">
        <v>3</v>
      </c>
      <c r="M34" s="70">
        <v>3</v>
      </c>
      <c r="N34" s="92"/>
      <c r="O34" s="93"/>
    </row>
    <row r="35" spans="1:17" ht="17.25" customHeight="1" x14ac:dyDescent="0.35">
      <c r="A35" s="58" t="s">
        <v>28</v>
      </c>
      <c r="B35" s="66">
        <v>2</v>
      </c>
      <c r="C35" s="32">
        <v>2</v>
      </c>
      <c r="D35" s="57">
        <v>2</v>
      </c>
      <c r="E35" s="57">
        <v>2</v>
      </c>
      <c r="F35" s="32">
        <v>2</v>
      </c>
      <c r="G35" s="32">
        <v>2</v>
      </c>
      <c r="H35" s="57">
        <v>2</v>
      </c>
      <c r="I35" s="57">
        <v>2</v>
      </c>
      <c r="J35" s="57">
        <v>2</v>
      </c>
      <c r="K35" s="57">
        <v>2</v>
      </c>
      <c r="L35" s="32">
        <v>2</v>
      </c>
      <c r="M35" s="32">
        <v>2</v>
      </c>
      <c r="N35" s="83"/>
      <c r="O35" s="94"/>
    </row>
    <row r="36" spans="1:17" ht="17.25" customHeight="1" x14ac:dyDescent="0.35">
      <c r="A36" s="58" t="s">
        <v>36</v>
      </c>
      <c r="B36" s="66">
        <v>5</v>
      </c>
      <c r="C36" s="32">
        <v>5</v>
      </c>
      <c r="D36" s="57">
        <v>5</v>
      </c>
      <c r="E36" s="57">
        <v>5</v>
      </c>
      <c r="F36" s="32">
        <v>5</v>
      </c>
      <c r="G36" s="32">
        <v>5</v>
      </c>
      <c r="H36" s="57">
        <v>8</v>
      </c>
      <c r="I36" s="57">
        <v>8</v>
      </c>
      <c r="J36" s="57">
        <v>7</v>
      </c>
      <c r="K36" s="57">
        <v>7</v>
      </c>
      <c r="L36" s="32">
        <v>8</v>
      </c>
      <c r="M36" s="32">
        <v>8</v>
      </c>
      <c r="N36" s="83"/>
      <c r="O36" s="94"/>
    </row>
    <row r="37" spans="1:17" ht="15" thickBot="1" x14ac:dyDescent="0.4">
      <c r="A37" s="59" t="s">
        <v>38</v>
      </c>
      <c r="B37" s="81"/>
      <c r="C37" s="95"/>
      <c r="D37" s="81"/>
      <c r="E37" s="81"/>
      <c r="F37" s="81"/>
      <c r="G37" s="95"/>
      <c r="H37" s="81"/>
      <c r="I37" s="81"/>
      <c r="J37" s="81"/>
      <c r="K37" s="95"/>
      <c r="L37" s="81"/>
      <c r="M37" s="81"/>
      <c r="N37" s="81"/>
      <c r="O37" s="95"/>
    </row>
    <row r="38" spans="1:17" ht="15" thickBot="1" x14ac:dyDescent="0.4">
      <c r="A38" s="40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4"/>
      <c r="N38" s="41"/>
      <c r="O38" s="44"/>
      <c r="P38" s="22"/>
      <c r="Q38" s="23"/>
    </row>
    <row r="39" spans="1:17" s="23" customFormat="1" ht="16" thickBot="1" x14ac:dyDescent="0.4">
      <c r="A39" s="12" t="s">
        <v>22</v>
      </c>
      <c r="B39" s="45">
        <f t="shared" ref="B39:O39" si="6">SUM(B33:B37)</f>
        <v>9</v>
      </c>
      <c r="C39" s="45">
        <f t="shared" si="6"/>
        <v>9</v>
      </c>
      <c r="D39" s="45">
        <f t="shared" si="6"/>
        <v>7</v>
      </c>
      <c r="E39" s="45">
        <f t="shared" si="6"/>
        <v>7</v>
      </c>
      <c r="F39" s="45">
        <f t="shared" si="6"/>
        <v>9</v>
      </c>
      <c r="G39" s="45">
        <f t="shared" si="6"/>
        <v>9</v>
      </c>
      <c r="H39" s="45">
        <f t="shared" si="6"/>
        <v>10</v>
      </c>
      <c r="I39" s="45">
        <f t="shared" si="6"/>
        <v>10</v>
      </c>
      <c r="J39" s="45">
        <f t="shared" si="6"/>
        <v>10</v>
      </c>
      <c r="K39" s="45">
        <f t="shared" si="6"/>
        <v>10</v>
      </c>
      <c r="L39" s="45">
        <f t="shared" si="6"/>
        <v>13</v>
      </c>
      <c r="M39" s="45">
        <f t="shared" si="6"/>
        <v>13</v>
      </c>
      <c r="N39" s="45">
        <f t="shared" si="6"/>
        <v>0</v>
      </c>
      <c r="O39" s="45">
        <f t="shared" si="6"/>
        <v>0</v>
      </c>
      <c r="P39" s="22"/>
    </row>
    <row r="40" spans="1:17" ht="16" thickBot="1" x14ac:dyDescent="0.4">
      <c r="A40" s="22"/>
      <c r="B40" s="18"/>
      <c r="C40" s="11"/>
      <c r="D40" s="18"/>
      <c r="E40" s="11"/>
      <c r="F40" s="18"/>
      <c r="G40" s="11"/>
      <c r="H40" s="18"/>
      <c r="I40" s="11"/>
      <c r="J40" s="18"/>
      <c r="K40" s="11"/>
      <c r="L40" s="18"/>
      <c r="M40" s="11"/>
      <c r="N40" s="18"/>
      <c r="O40" s="11"/>
    </row>
    <row r="41" spans="1:17" ht="16" thickBot="1" x14ac:dyDescent="0.4">
      <c r="A41" s="46" t="s">
        <v>23</v>
      </c>
      <c r="B41" s="47">
        <f t="shared" ref="B41:I41" si="7">(B17+B26+B39)</f>
        <v>32</v>
      </c>
      <c r="C41" s="47">
        <f t="shared" si="7"/>
        <v>32</v>
      </c>
      <c r="D41" s="47">
        <f t="shared" si="7"/>
        <v>24</v>
      </c>
      <c r="E41" s="47">
        <f t="shared" si="7"/>
        <v>23</v>
      </c>
      <c r="F41" s="47">
        <f t="shared" si="7"/>
        <v>31</v>
      </c>
      <c r="G41" s="47">
        <f t="shared" si="7"/>
        <v>31</v>
      </c>
      <c r="H41" s="47">
        <f t="shared" si="7"/>
        <v>35</v>
      </c>
      <c r="I41" s="47">
        <f t="shared" si="7"/>
        <v>35</v>
      </c>
      <c r="J41" s="47">
        <f t="shared" ref="J41:O41" si="8">(J17+J26+J39)</f>
        <v>39</v>
      </c>
      <c r="K41" s="47">
        <f t="shared" si="8"/>
        <v>39</v>
      </c>
      <c r="L41" s="47">
        <f t="shared" si="8"/>
        <v>40</v>
      </c>
      <c r="M41" s="47">
        <f t="shared" si="8"/>
        <v>40</v>
      </c>
      <c r="N41" s="47">
        <f t="shared" si="8"/>
        <v>21</v>
      </c>
      <c r="O41" s="48">
        <f t="shared" si="8"/>
        <v>21</v>
      </c>
    </row>
    <row r="42" spans="1:17" x14ac:dyDescent="0.35">
      <c r="A42" s="24"/>
      <c r="B42" s="25"/>
      <c r="C42" s="26"/>
      <c r="D42" s="27"/>
      <c r="N42" s="22"/>
      <c r="O42" s="10"/>
    </row>
    <row r="43" spans="1:17" x14ac:dyDescent="0.35">
      <c r="A43" s="24"/>
      <c r="B43" s="28"/>
      <c r="C43" s="29"/>
      <c r="D43" s="30"/>
      <c r="E43" s="20"/>
    </row>
    <row r="44" spans="1:17" x14ac:dyDescent="0.35">
      <c r="B44" s="20"/>
      <c r="C44" s="20"/>
      <c r="D44" s="20"/>
      <c r="E44" s="20"/>
      <c r="F44" s="20"/>
      <c r="G44" s="20"/>
      <c r="H44" s="20"/>
      <c r="I44" s="20"/>
      <c r="J44" s="20"/>
    </row>
  </sheetData>
  <mergeCells count="28">
    <mergeCell ref="F4:G4"/>
    <mergeCell ref="D4:E4"/>
    <mergeCell ref="B4:C4"/>
    <mergeCell ref="F3:G3"/>
    <mergeCell ref="D3:E3"/>
    <mergeCell ref="B3:C3"/>
    <mergeCell ref="N31:O31"/>
    <mergeCell ref="N32:O32"/>
    <mergeCell ref="H3:I3"/>
    <mergeCell ref="H4:I4"/>
    <mergeCell ref="H31:I31"/>
    <mergeCell ref="H32:I32"/>
    <mergeCell ref="J31:K31"/>
    <mergeCell ref="J32:K32"/>
    <mergeCell ref="L31:M31"/>
    <mergeCell ref="L32:M32"/>
    <mergeCell ref="J3:K3"/>
    <mergeCell ref="J4:K4"/>
    <mergeCell ref="L3:M3"/>
    <mergeCell ref="L4:M4"/>
    <mergeCell ref="N3:O3"/>
    <mergeCell ref="N4:O4"/>
    <mergeCell ref="B31:C31"/>
    <mergeCell ref="B32:C32"/>
    <mergeCell ref="D31:E31"/>
    <mergeCell ref="D32:E32"/>
    <mergeCell ref="F31:G31"/>
    <mergeCell ref="F32:G32"/>
  </mergeCells>
  <pageMargins left="0.70866141732283472" right="0.70866141732283472" top="0.74803149606299213" bottom="0.74803149606299213" header="0.31496062992125984" footer="0.31496062992125984"/>
  <pageSetup paperSize="9" scale="8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John Lewis Partnership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dstringe</dc:creator>
  <cp:lastModifiedBy>Diane Birt</cp:lastModifiedBy>
  <cp:lastPrinted>2015-10-19T10:52:45Z</cp:lastPrinted>
  <dcterms:created xsi:type="dcterms:W3CDTF">2015-07-28T08:57:37Z</dcterms:created>
  <dcterms:modified xsi:type="dcterms:W3CDTF">2026-10-16T09:48:25Z</dcterms:modified>
</cp:coreProperties>
</file>