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wfselfile01\Shared Data\Supply Chain\Material Planning\Crates\Orders - Customer Crate &amp; CHEP Pallet\Stuart Lyons collections\2026\10 OCT\"/>
    </mc:Choice>
  </mc:AlternateContent>
  <xr:revisionPtr revIDLastSave="0" documentId="13_ncr:1_{12501C8E-4057-48C3-817B-EB47C524D379}" xr6:coauthVersionLast="47" xr6:coauthVersionMax="47" xr10:uidLastSave="{00000000-0000-0000-0000-000000000000}"/>
  <bookViews>
    <workbookView xWindow="28680" yWindow="-120" windowWidth="29040" windowHeight="15720" xr2:uid="{F1363B04-1AD3-4CB0-A760-956FBDED5E65}"/>
  </bookViews>
  <sheets>
    <sheet name="Collections" sheetId="1" r:id="rId1"/>
    <sheet name="SLH Fuel Surcharge" sheetId="4" r:id="rId2"/>
    <sheet name="date summary" sheetId="5" r:id="rId3"/>
    <sheet name="Sheet1" sheetId="3" r:id="rId4"/>
    <sheet name="Charges" sheetId="2" r:id="rId5"/>
  </sheets>
  <externalReferences>
    <externalReference r:id="rId6"/>
    <externalReference r:id="rId7"/>
  </externalReferences>
  <definedNames>
    <definedName name="_xlnm._FilterDatabase" localSheetId="0" hidden="1">Collections!$A$3:$AW$70</definedName>
    <definedName name="_xlnm._FilterDatabase" localSheetId="1" hidden="1">'SLH Fuel Surcharge'!$B$101:$F$132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J8" i="4" l="1"/>
  <c r="K8" i="4"/>
  <c r="L8" i="4"/>
  <c r="M8" i="4"/>
  <c r="N8" i="4"/>
  <c r="O8" i="4"/>
  <c r="P8" i="4"/>
  <c r="Q8" i="4"/>
  <c r="R8" i="4"/>
  <c r="S8" i="4"/>
  <c r="T8" i="4"/>
  <c r="U8" i="4"/>
  <c r="V8" i="4"/>
  <c r="J9" i="4"/>
  <c r="K9" i="4"/>
  <c r="L9" i="4"/>
  <c r="M9" i="4"/>
  <c r="N9" i="4"/>
  <c r="O9" i="4"/>
  <c r="P9" i="4"/>
  <c r="Q9" i="4"/>
  <c r="R9" i="4"/>
  <c r="S9" i="4"/>
  <c r="T9" i="4"/>
  <c r="U9" i="4"/>
  <c r="V9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I11" i="4"/>
  <c r="I10" i="4"/>
  <c r="I9" i="4"/>
  <c r="I8" i="4"/>
  <c r="F8" i="1" l="1"/>
  <c r="C8" i="1" s="1"/>
  <c r="F12" i="1"/>
  <c r="C12" i="1" s="1"/>
  <c r="F17" i="1"/>
  <c r="C17" i="1" s="1"/>
  <c r="F20" i="1"/>
  <c r="C20" i="1" s="1"/>
  <c r="F27" i="1"/>
  <c r="C27" i="1" s="1"/>
  <c r="F30" i="1"/>
  <c r="C30" i="1" s="1"/>
  <c r="F9" i="1"/>
  <c r="C9" i="1" s="1"/>
  <c r="F13" i="1"/>
  <c r="C13" i="1" s="1"/>
  <c r="F64" i="4"/>
  <c r="K8" i="1"/>
  <c r="K12" i="1"/>
  <c r="K17" i="1"/>
  <c r="K20" i="1"/>
  <c r="K27" i="1"/>
  <c r="K30" i="1"/>
  <c r="K9" i="1"/>
  <c r="K13" i="1"/>
  <c r="K21" i="1"/>
  <c r="K31" i="1"/>
  <c r="K22" i="1"/>
  <c r="K28" i="1"/>
  <c r="K5" i="1"/>
  <c r="K14" i="1"/>
  <c r="K23" i="1"/>
  <c r="K32" i="1"/>
  <c r="K18" i="1"/>
  <c r="K6" i="1"/>
  <c r="K15" i="1"/>
  <c r="K24" i="1"/>
  <c r="K33" i="1"/>
  <c r="K25" i="1"/>
  <c r="K10" i="1"/>
  <c r="K19" i="1"/>
  <c r="K29" i="1"/>
  <c r="K7" i="1"/>
  <c r="K16" i="1"/>
  <c r="K26" i="1"/>
  <c r="K34" i="1"/>
  <c r="K11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4" i="1"/>
  <c r="F21" i="1" l="1"/>
  <c r="C21" i="1" s="1"/>
  <c r="F31" i="1"/>
  <c r="C31" i="1" s="1"/>
  <c r="F22" i="1"/>
  <c r="C22" i="1" s="1"/>
  <c r="F28" i="1"/>
  <c r="C28" i="1" s="1"/>
  <c r="F5" i="1"/>
  <c r="F14" i="1"/>
  <c r="F23" i="1"/>
  <c r="F32" i="1"/>
  <c r="F18" i="1"/>
  <c r="F6" i="1"/>
  <c r="F15" i="1"/>
  <c r="C15" i="1" s="1"/>
  <c r="F24" i="1"/>
  <c r="C24" i="1" s="1"/>
  <c r="F33" i="1"/>
  <c r="C33" i="1" s="1"/>
  <c r="F25" i="1"/>
  <c r="C25" i="1" s="1"/>
  <c r="F10" i="1"/>
  <c r="C10" i="1" s="1"/>
  <c r="F19" i="1"/>
  <c r="C19" i="1" s="1"/>
  <c r="F29" i="1"/>
  <c r="C29" i="1" s="1"/>
  <c r="F7" i="1"/>
  <c r="F16" i="1"/>
  <c r="C16" i="1" s="1"/>
  <c r="F26" i="1"/>
  <c r="C26" i="1" s="1"/>
  <c r="F34" i="1"/>
  <c r="C34" i="1" s="1"/>
  <c r="F11" i="1"/>
  <c r="C11" i="1" s="1"/>
  <c r="F35" i="1"/>
  <c r="C35" i="1" s="1"/>
  <c r="F36" i="1"/>
  <c r="C36" i="1" s="1"/>
  <c r="F37" i="1"/>
  <c r="C37" i="1" s="1"/>
  <c r="F38" i="1"/>
  <c r="C38" i="1" s="1"/>
  <c r="F39" i="1"/>
  <c r="C39" i="1" s="1"/>
  <c r="F40" i="1"/>
  <c r="C40" i="1" s="1"/>
  <c r="F41" i="1"/>
  <c r="C41" i="1" s="1"/>
  <c r="F42" i="1"/>
  <c r="C42" i="1" s="1"/>
  <c r="F43" i="1"/>
  <c r="C43" i="1" s="1"/>
  <c r="F44" i="1"/>
  <c r="C44" i="1" s="1"/>
  <c r="F45" i="1"/>
  <c r="C45" i="1" s="1"/>
  <c r="F46" i="1"/>
  <c r="C46" i="1" s="1"/>
  <c r="F47" i="1"/>
  <c r="C47" i="1" s="1"/>
  <c r="F48" i="1"/>
  <c r="C48" i="1" s="1"/>
  <c r="F49" i="1"/>
  <c r="C49" i="1" s="1"/>
  <c r="F50" i="1"/>
  <c r="C50" i="1" s="1"/>
  <c r="F51" i="1"/>
  <c r="C51" i="1" s="1"/>
  <c r="F52" i="1"/>
  <c r="C52" i="1" s="1"/>
  <c r="F53" i="1"/>
  <c r="C53" i="1" s="1"/>
  <c r="F54" i="1"/>
  <c r="C54" i="1" s="1"/>
  <c r="F55" i="1"/>
  <c r="C55" i="1" s="1"/>
  <c r="F56" i="1"/>
  <c r="C56" i="1" s="1"/>
  <c r="F57" i="1"/>
  <c r="C57" i="1" s="1"/>
  <c r="F58" i="1"/>
  <c r="C58" i="1" s="1"/>
  <c r="F59" i="1"/>
  <c r="C59" i="1" s="1"/>
  <c r="F60" i="1"/>
  <c r="C60" i="1" s="1"/>
  <c r="F61" i="1"/>
  <c r="C61" i="1" s="1"/>
  <c r="F62" i="1"/>
  <c r="C62" i="1" s="1"/>
  <c r="F63" i="1"/>
  <c r="C63" i="1" s="1"/>
  <c r="F64" i="1"/>
  <c r="C64" i="1" s="1"/>
  <c r="F65" i="1"/>
  <c r="C65" i="1" s="1"/>
  <c r="F66" i="1"/>
  <c r="C66" i="1" s="1"/>
  <c r="F67" i="1"/>
  <c r="C67" i="1" s="1"/>
  <c r="F68" i="1"/>
  <c r="C68" i="1" s="1"/>
  <c r="F69" i="1"/>
  <c r="C69" i="1" s="1"/>
  <c r="F70" i="1"/>
  <c r="C70" i="1" s="1"/>
  <c r="B133" i="5" l="1"/>
  <c r="B140" i="5" s="1"/>
  <c r="B147" i="5" s="1"/>
  <c r="B154" i="5" s="1"/>
  <c r="B161" i="5" s="1"/>
  <c r="B168" i="5" s="1"/>
  <c r="B175" i="5" s="1"/>
  <c r="B182" i="5" s="1"/>
  <c r="B189" i="5" s="1"/>
  <c r="B196" i="5" s="1"/>
  <c r="B203" i="5" s="1"/>
  <c r="B210" i="5" s="1"/>
  <c r="B217" i="5" s="1"/>
  <c r="B224" i="5" s="1"/>
  <c r="B231" i="5" s="1"/>
  <c r="B238" i="5" s="1"/>
  <c r="B245" i="5" s="1"/>
  <c r="B252" i="5" s="1"/>
  <c r="B259" i="5" s="1"/>
  <c r="B266" i="5" s="1"/>
  <c r="B273" i="5" s="1"/>
  <c r="B280" i="5" s="1"/>
  <c r="B287" i="5" s="1"/>
  <c r="B294" i="5" s="1"/>
  <c r="B301" i="5" s="1"/>
  <c r="B308" i="5" s="1"/>
  <c r="B315" i="5" s="1"/>
  <c r="B322" i="5" s="1"/>
  <c r="B329" i="5" s="1"/>
  <c r="B336" i="5" s="1"/>
  <c r="B343" i="5" s="1"/>
  <c r="B350" i="5" s="1"/>
  <c r="B357" i="5" s="1"/>
  <c r="B364" i="5" s="1"/>
  <c r="B371" i="5" s="1"/>
  <c r="B132" i="5"/>
  <c r="B139" i="5" s="1"/>
  <c r="B146" i="5" s="1"/>
  <c r="B153" i="5" s="1"/>
  <c r="B160" i="5" s="1"/>
  <c r="B167" i="5" s="1"/>
  <c r="B174" i="5" s="1"/>
  <c r="B181" i="5" s="1"/>
  <c r="B188" i="5" s="1"/>
  <c r="B195" i="5" s="1"/>
  <c r="B202" i="5" s="1"/>
  <c r="B209" i="5" s="1"/>
  <c r="B216" i="5" s="1"/>
  <c r="B223" i="5" s="1"/>
  <c r="B230" i="5" s="1"/>
  <c r="B237" i="5" s="1"/>
  <c r="B244" i="5" s="1"/>
  <c r="B251" i="5" s="1"/>
  <c r="B258" i="5" s="1"/>
  <c r="B265" i="5" s="1"/>
  <c r="B272" i="5" s="1"/>
  <c r="B279" i="5" s="1"/>
  <c r="B286" i="5" s="1"/>
  <c r="B293" i="5" s="1"/>
  <c r="B300" i="5" s="1"/>
  <c r="B307" i="5" s="1"/>
  <c r="B314" i="5" s="1"/>
  <c r="B321" i="5" s="1"/>
  <c r="B328" i="5" s="1"/>
  <c r="B335" i="5" s="1"/>
  <c r="B342" i="5" s="1"/>
  <c r="B349" i="5" s="1"/>
  <c r="B356" i="5" s="1"/>
  <c r="B363" i="5" s="1"/>
  <c r="B370" i="5" s="1"/>
  <c r="B131" i="5"/>
  <c r="B138" i="5" s="1"/>
  <c r="B145" i="5" s="1"/>
  <c r="B152" i="5" s="1"/>
  <c r="B159" i="5" s="1"/>
  <c r="B166" i="5" s="1"/>
  <c r="B173" i="5" s="1"/>
  <c r="B180" i="5" s="1"/>
  <c r="B187" i="5" s="1"/>
  <c r="B194" i="5" s="1"/>
  <c r="B201" i="5" s="1"/>
  <c r="B208" i="5" s="1"/>
  <c r="B215" i="5" s="1"/>
  <c r="B222" i="5" s="1"/>
  <c r="B229" i="5" s="1"/>
  <c r="B236" i="5" s="1"/>
  <c r="B243" i="5" s="1"/>
  <c r="B250" i="5" s="1"/>
  <c r="B257" i="5" s="1"/>
  <c r="B264" i="5" s="1"/>
  <c r="B271" i="5" s="1"/>
  <c r="B278" i="5" s="1"/>
  <c r="B285" i="5" s="1"/>
  <c r="B292" i="5" s="1"/>
  <c r="B299" i="5" s="1"/>
  <c r="B306" i="5" s="1"/>
  <c r="B313" i="5" s="1"/>
  <c r="B320" i="5" s="1"/>
  <c r="B327" i="5" s="1"/>
  <c r="B334" i="5" s="1"/>
  <c r="B341" i="5" s="1"/>
  <c r="B348" i="5" s="1"/>
  <c r="B355" i="5" s="1"/>
  <c r="B362" i="5" s="1"/>
  <c r="B369" i="5" s="1"/>
  <c r="B130" i="5"/>
  <c r="B137" i="5" s="1"/>
  <c r="B144" i="5" s="1"/>
  <c r="B151" i="5" s="1"/>
  <c r="B158" i="5" s="1"/>
  <c r="B165" i="5" s="1"/>
  <c r="B172" i="5" s="1"/>
  <c r="B179" i="5" s="1"/>
  <c r="B186" i="5" s="1"/>
  <c r="B193" i="5" s="1"/>
  <c r="B200" i="5" s="1"/>
  <c r="B207" i="5" s="1"/>
  <c r="B214" i="5" s="1"/>
  <c r="B221" i="5" s="1"/>
  <c r="B228" i="5" s="1"/>
  <c r="B235" i="5" s="1"/>
  <c r="B242" i="5" s="1"/>
  <c r="B249" i="5" s="1"/>
  <c r="B256" i="5" s="1"/>
  <c r="B263" i="5" s="1"/>
  <c r="B270" i="5" s="1"/>
  <c r="B277" i="5" s="1"/>
  <c r="B284" i="5" s="1"/>
  <c r="B291" i="5" s="1"/>
  <c r="B298" i="5" s="1"/>
  <c r="B305" i="5" s="1"/>
  <c r="B312" i="5" s="1"/>
  <c r="B319" i="5" s="1"/>
  <c r="B326" i="5" s="1"/>
  <c r="B333" i="5" s="1"/>
  <c r="B340" i="5" s="1"/>
  <c r="B347" i="5" s="1"/>
  <c r="B354" i="5" s="1"/>
  <c r="B361" i="5" s="1"/>
  <c r="B368" i="5" s="1"/>
  <c r="B129" i="5"/>
  <c r="B136" i="5" s="1"/>
  <c r="B143" i="5" s="1"/>
  <c r="B150" i="5" s="1"/>
  <c r="B157" i="5" s="1"/>
  <c r="B164" i="5" s="1"/>
  <c r="B171" i="5" s="1"/>
  <c r="B178" i="5" s="1"/>
  <c r="B185" i="5" s="1"/>
  <c r="B192" i="5" s="1"/>
  <c r="B199" i="5" s="1"/>
  <c r="B206" i="5" s="1"/>
  <c r="B213" i="5" s="1"/>
  <c r="B220" i="5" s="1"/>
  <c r="B227" i="5" s="1"/>
  <c r="B234" i="5" s="1"/>
  <c r="B241" i="5" s="1"/>
  <c r="B248" i="5" s="1"/>
  <c r="B255" i="5" s="1"/>
  <c r="B262" i="5" s="1"/>
  <c r="B269" i="5" s="1"/>
  <c r="B276" i="5" s="1"/>
  <c r="B283" i="5" s="1"/>
  <c r="B290" i="5" s="1"/>
  <c r="B297" i="5" s="1"/>
  <c r="B304" i="5" s="1"/>
  <c r="B311" i="5" s="1"/>
  <c r="B318" i="5" s="1"/>
  <c r="B325" i="5" s="1"/>
  <c r="B332" i="5" s="1"/>
  <c r="B339" i="5" s="1"/>
  <c r="B346" i="5" s="1"/>
  <c r="B353" i="5" s="1"/>
  <c r="B360" i="5" s="1"/>
  <c r="B367" i="5" s="1"/>
  <c r="B128" i="5"/>
  <c r="B135" i="5" s="1"/>
  <c r="B142" i="5" s="1"/>
  <c r="B149" i="5" s="1"/>
  <c r="B156" i="5" s="1"/>
  <c r="B163" i="5" s="1"/>
  <c r="B170" i="5" s="1"/>
  <c r="B177" i="5" s="1"/>
  <c r="B184" i="5" s="1"/>
  <c r="B191" i="5" s="1"/>
  <c r="B198" i="5" s="1"/>
  <c r="B205" i="5" s="1"/>
  <c r="B212" i="5" s="1"/>
  <c r="B219" i="5" s="1"/>
  <c r="B226" i="5" s="1"/>
  <c r="B233" i="5" s="1"/>
  <c r="B240" i="5" s="1"/>
  <c r="B247" i="5" s="1"/>
  <c r="B254" i="5" s="1"/>
  <c r="B261" i="5" s="1"/>
  <c r="B268" i="5" s="1"/>
  <c r="B275" i="5" s="1"/>
  <c r="B282" i="5" s="1"/>
  <c r="B289" i="5" s="1"/>
  <c r="B296" i="5" s="1"/>
  <c r="B303" i="5" s="1"/>
  <c r="B310" i="5" s="1"/>
  <c r="B317" i="5" s="1"/>
  <c r="B324" i="5" s="1"/>
  <c r="B331" i="5" s="1"/>
  <c r="B338" i="5" s="1"/>
  <c r="B345" i="5" s="1"/>
  <c r="B352" i="5" s="1"/>
  <c r="B359" i="5" s="1"/>
  <c r="B366" i="5" s="1"/>
  <c r="B127" i="5"/>
  <c r="B134" i="5" s="1"/>
  <c r="B141" i="5" s="1"/>
  <c r="B148" i="5" s="1"/>
  <c r="B155" i="5" s="1"/>
  <c r="B162" i="5" s="1"/>
  <c r="B169" i="5" s="1"/>
  <c r="B176" i="5" s="1"/>
  <c r="B183" i="5" s="1"/>
  <c r="B190" i="5" s="1"/>
  <c r="B197" i="5" s="1"/>
  <c r="B204" i="5" s="1"/>
  <c r="B211" i="5" s="1"/>
  <c r="B218" i="5" s="1"/>
  <c r="B225" i="5" s="1"/>
  <c r="B232" i="5" s="1"/>
  <c r="B239" i="5" s="1"/>
  <c r="B246" i="5" s="1"/>
  <c r="B253" i="5" s="1"/>
  <c r="B260" i="5" s="1"/>
  <c r="B267" i="5" s="1"/>
  <c r="B274" i="5" s="1"/>
  <c r="B281" i="5" s="1"/>
  <c r="B288" i="5" s="1"/>
  <c r="B295" i="5" s="1"/>
  <c r="B302" i="5" s="1"/>
  <c r="B309" i="5" s="1"/>
  <c r="B316" i="5" s="1"/>
  <c r="B323" i="5" s="1"/>
  <c r="B330" i="5" s="1"/>
  <c r="B337" i="5" s="1"/>
  <c r="B344" i="5" s="1"/>
  <c r="B351" i="5" s="1"/>
  <c r="B358" i="5" s="1"/>
  <c r="B365" i="5" s="1"/>
  <c r="F4" i="1" s="1"/>
  <c r="C4" i="1" s="1"/>
  <c r="B14" i="5"/>
  <c r="B21" i="5" s="1"/>
  <c r="B28" i="5" s="1"/>
  <c r="B35" i="5" s="1"/>
  <c r="B42" i="5" s="1"/>
  <c r="B49" i="5" s="1"/>
  <c r="B13" i="5"/>
  <c r="B20" i="5" s="1"/>
  <c r="B27" i="5" s="1"/>
  <c r="B34" i="5" s="1"/>
  <c r="B41" i="5" s="1"/>
  <c r="B48" i="5" s="1"/>
  <c r="B12" i="5"/>
  <c r="B19" i="5" s="1"/>
  <c r="B26" i="5" s="1"/>
  <c r="B33" i="5" s="1"/>
  <c r="B40" i="5" s="1"/>
  <c r="B47" i="5" s="1"/>
  <c r="B54" i="5" s="1"/>
  <c r="B11" i="5"/>
  <c r="B18" i="5" s="1"/>
  <c r="B25" i="5" s="1"/>
  <c r="B32" i="5" s="1"/>
  <c r="B39" i="5" s="1"/>
  <c r="B46" i="5" s="1"/>
  <c r="B53" i="5" s="1"/>
  <c r="B10" i="5"/>
  <c r="B17" i="5" s="1"/>
  <c r="B24" i="5" s="1"/>
  <c r="B31" i="5" s="1"/>
  <c r="B38" i="5" s="1"/>
  <c r="B45" i="5" s="1"/>
  <c r="B52" i="5" s="1"/>
  <c r="B9" i="5"/>
  <c r="B16" i="5" s="1"/>
  <c r="B23" i="5" s="1"/>
  <c r="B30" i="5" s="1"/>
  <c r="B37" i="5" s="1"/>
  <c r="B44" i="5" s="1"/>
  <c r="B51" i="5" s="1"/>
  <c r="B8" i="5"/>
  <c r="B15" i="5" s="1"/>
  <c r="B22" i="5" s="1"/>
  <c r="B29" i="5" s="1"/>
  <c r="B36" i="5" s="1"/>
  <c r="B43" i="5" s="1"/>
  <c r="B50" i="5" s="1"/>
  <c r="C323" i="4"/>
  <c r="C330" i="4" s="1"/>
  <c r="C337" i="4" s="1"/>
  <c r="C344" i="4" s="1"/>
  <c r="C351" i="4" s="1"/>
  <c r="C358" i="4" s="1"/>
  <c r="C365" i="4" s="1"/>
  <c r="C372" i="4" s="1"/>
  <c r="C379" i="4" s="1"/>
  <c r="C386" i="4" s="1"/>
  <c r="C393" i="4" s="1"/>
  <c r="C400" i="4" s="1"/>
  <c r="C407" i="4" s="1"/>
  <c r="C414" i="4" s="1"/>
  <c r="C421" i="4" s="1"/>
  <c r="C428" i="4" s="1"/>
  <c r="C435" i="4" s="1"/>
  <c r="C442" i="4" s="1"/>
  <c r="C449" i="4" s="1"/>
  <c r="C456" i="4" s="1"/>
  <c r="C463" i="4" s="1"/>
  <c r="C470" i="4" s="1"/>
  <c r="C477" i="4" s="1"/>
  <c r="C484" i="4" s="1"/>
  <c r="C491" i="4" s="1"/>
  <c r="C498" i="4" s="1"/>
  <c r="C505" i="4" s="1"/>
  <c r="C295" i="4"/>
  <c r="C302" i="4" s="1"/>
  <c r="C309" i="4" s="1"/>
  <c r="C316" i="4" s="1"/>
  <c r="C267" i="4"/>
  <c r="C274" i="4" s="1"/>
  <c r="C281" i="4" s="1"/>
  <c r="C288" i="4" s="1"/>
  <c r="C266" i="4"/>
  <c r="C273" i="4" s="1"/>
  <c r="C280" i="4" s="1"/>
  <c r="C287" i="4" s="1"/>
  <c r="C294" i="4" s="1"/>
  <c r="C301" i="4" s="1"/>
  <c r="C308" i="4" s="1"/>
  <c r="C315" i="4" s="1"/>
  <c r="C322" i="4" s="1"/>
  <c r="C329" i="4" s="1"/>
  <c r="C336" i="4" s="1"/>
  <c r="C343" i="4" s="1"/>
  <c r="C350" i="4" s="1"/>
  <c r="C357" i="4" s="1"/>
  <c r="C364" i="4" s="1"/>
  <c r="C371" i="4" s="1"/>
  <c r="C378" i="4" s="1"/>
  <c r="C385" i="4" s="1"/>
  <c r="C392" i="4" s="1"/>
  <c r="C399" i="4" s="1"/>
  <c r="C406" i="4" s="1"/>
  <c r="C413" i="4" s="1"/>
  <c r="C420" i="4" s="1"/>
  <c r="C427" i="4" s="1"/>
  <c r="C434" i="4" s="1"/>
  <c r="C441" i="4" s="1"/>
  <c r="C448" i="4" s="1"/>
  <c r="C455" i="4" s="1"/>
  <c r="C462" i="4" s="1"/>
  <c r="C469" i="4" s="1"/>
  <c r="C476" i="4" s="1"/>
  <c r="C483" i="4" s="1"/>
  <c r="C490" i="4" s="1"/>
  <c r="C497" i="4" s="1"/>
  <c r="C504" i="4" s="1"/>
  <c r="C265" i="4"/>
  <c r="C272" i="4" s="1"/>
  <c r="C279" i="4" s="1"/>
  <c r="C286" i="4" s="1"/>
  <c r="C293" i="4" s="1"/>
  <c r="C300" i="4" s="1"/>
  <c r="C307" i="4" s="1"/>
  <c r="C314" i="4" s="1"/>
  <c r="C321" i="4" s="1"/>
  <c r="C328" i="4" s="1"/>
  <c r="C335" i="4" s="1"/>
  <c r="C342" i="4" s="1"/>
  <c r="C349" i="4" s="1"/>
  <c r="C356" i="4" s="1"/>
  <c r="C363" i="4" s="1"/>
  <c r="C370" i="4" s="1"/>
  <c r="C377" i="4" s="1"/>
  <c r="C384" i="4" s="1"/>
  <c r="C391" i="4" s="1"/>
  <c r="C398" i="4" s="1"/>
  <c r="C405" i="4" s="1"/>
  <c r="C412" i="4" s="1"/>
  <c r="C419" i="4" s="1"/>
  <c r="C426" i="4" s="1"/>
  <c r="C433" i="4" s="1"/>
  <c r="C440" i="4" s="1"/>
  <c r="C447" i="4" s="1"/>
  <c r="C454" i="4" s="1"/>
  <c r="C461" i="4" s="1"/>
  <c r="C468" i="4" s="1"/>
  <c r="C475" i="4" s="1"/>
  <c r="C482" i="4" s="1"/>
  <c r="C489" i="4" s="1"/>
  <c r="C496" i="4" s="1"/>
  <c r="C503" i="4" s="1"/>
  <c r="C264" i="4"/>
  <c r="C271" i="4" s="1"/>
  <c r="C278" i="4" s="1"/>
  <c r="C285" i="4" s="1"/>
  <c r="C292" i="4" s="1"/>
  <c r="C299" i="4" s="1"/>
  <c r="C306" i="4" s="1"/>
  <c r="C313" i="4" s="1"/>
  <c r="C320" i="4" s="1"/>
  <c r="C327" i="4" s="1"/>
  <c r="C334" i="4" s="1"/>
  <c r="C341" i="4" s="1"/>
  <c r="C348" i="4" s="1"/>
  <c r="C355" i="4" s="1"/>
  <c r="C362" i="4" s="1"/>
  <c r="C369" i="4" s="1"/>
  <c r="C376" i="4" s="1"/>
  <c r="C383" i="4" s="1"/>
  <c r="C390" i="4" s="1"/>
  <c r="C397" i="4" s="1"/>
  <c r="C404" i="4" s="1"/>
  <c r="C411" i="4" s="1"/>
  <c r="C418" i="4" s="1"/>
  <c r="C425" i="4" s="1"/>
  <c r="C432" i="4" s="1"/>
  <c r="C439" i="4" s="1"/>
  <c r="C446" i="4" s="1"/>
  <c r="C453" i="4" s="1"/>
  <c r="C460" i="4" s="1"/>
  <c r="C467" i="4" s="1"/>
  <c r="C474" i="4" s="1"/>
  <c r="C481" i="4" s="1"/>
  <c r="C488" i="4" s="1"/>
  <c r="C495" i="4" s="1"/>
  <c r="C502" i="4" s="1"/>
  <c r="C263" i="4"/>
  <c r="C270" i="4" s="1"/>
  <c r="C277" i="4" s="1"/>
  <c r="C284" i="4" s="1"/>
  <c r="C291" i="4" s="1"/>
  <c r="C298" i="4" s="1"/>
  <c r="C305" i="4" s="1"/>
  <c r="C312" i="4" s="1"/>
  <c r="C319" i="4" s="1"/>
  <c r="C326" i="4" s="1"/>
  <c r="C333" i="4" s="1"/>
  <c r="C340" i="4" s="1"/>
  <c r="C347" i="4" s="1"/>
  <c r="C354" i="4" s="1"/>
  <c r="C361" i="4" s="1"/>
  <c r="C368" i="4" s="1"/>
  <c r="C375" i="4" s="1"/>
  <c r="C382" i="4" s="1"/>
  <c r="C389" i="4" s="1"/>
  <c r="C396" i="4" s="1"/>
  <c r="C403" i="4" s="1"/>
  <c r="C410" i="4" s="1"/>
  <c r="C417" i="4" s="1"/>
  <c r="C424" i="4" s="1"/>
  <c r="C431" i="4" s="1"/>
  <c r="C438" i="4" s="1"/>
  <c r="C445" i="4" s="1"/>
  <c r="C452" i="4" s="1"/>
  <c r="C459" i="4" s="1"/>
  <c r="C466" i="4" s="1"/>
  <c r="C473" i="4" s="1"/>
  <c r="C480" i="4" s="1"/>
  <c r="C487" i="4" s="1"/>
  <c r="C494" i="4" s="1"/>
  <c r="C501" i="4" s="1"/>
  <c r="C262" i="4"/>
  <c r="C269" i="4" s="1"/>
  <c r="C276" i="4" s="1"/>
  <c r="C283" i="4" s="1"/>
  <c r="C290" i="4" s="1"/>
  <c r="C297" i="4" s="1"/>
  <c r="C304" i="4" s="1"/>
  <c r="C311" i="4" s="1"/>
  <c r="C318" i="4" s="1"/>
  <c r="C325" i="4" s="1"/>
  <c r="C332" i="4" s="1"/>
  <c r="C339" i="4" s="1"/>
  <c r="C346" i="4" s="1"/>
  <c r="C353" i="4" s="1"/>
  <c r="C360" i="4" s="1"/>
  <c r="C367" i="4" s="1"/>
  <c r="C374" i="4" s="1"/>
  <c r="C381" i="4" s="1"/>
  <c r="C388" i="4" s="1"/>
  <c r="C395" i="4" s="1"/>
  <c r="C402" i="4" s="1"/>
  <c r="C409" i="4" s="1"/>
  <c r="C416" i="4" s="1"/>
  <c r="C423" i="4" s="1"/>
  <c r="C430" i="4" s="1"/>
  <c r="C437" i="4" s="1"/>
  <c r="C444" i="4" s="1"/>
  <c r="C451" i="4" s="1"/>
  <c r="C458" i="4" s="1"/>
  <c r="C465" i="4" s="1"/>
  <c r="C472" i="4" s="1"/>
  <c r="C479" i="4" s="1"/>
  <c r="C486" i="4" s="1"/>
  <c r="C493" i="4" s="1"/>
  <c r="C500" i="4" s="1"/>
  <c r="C261" i="4"/>
  <c r="C268" i="4" s="1"/>
  <c r="C275" i="4" s="1"/>
  <c r="C282" i="4" s="1"/>
  <c r="C289" i="4" s="1"/>
  <c r="C296" i="4" s="1"/>
  <c r="C303" i="4" s="1"/>
  <c r="C310" i="4" s="1"/>
  <c r="C317" i="4" s="1"/>
  <c r="C324" i="4" s="1"/>
  <c r="C331" i="4" s="1"/>
  <c r="C338" i="4" s="1"/>
  <c r="C345" i="4" s="1"/>
  <c r="C352" i="4" s="1"/>
  <c r="C359" i="4" s="1"/>
  <c r="C366" i="4" s="1"/>
  <c r="C373" i="4" s="1"/>
  <c r="C380" i="4" s="1"/>
  <c r="C387" i="4" s="1"/>
  <c r="C394" i="4" s="1"/>
  <c r="C401" i="4" s="1"/>
  <c r="C408" i="4" s="1"/>
  <c r="C415" i="4" s="1"/>
  <c r="C422" i="4" s="1"/>
  <c r="C429" i="4" s="1"/>
  <c r="C436" i="4" s="1"/>
  <c r="C443" i="4" s="1"/>
  <c r="C450" i="4" s="1"/>
  <c r="C457" i="4" s="1"/>
  <c r="C464" i="4" s="1"/>
  <c r="C471" i="4" s="1"/>
  <c r="C478" i="4" s="1"/>
  <c r="C485" i="4" s="1"/>
  <c r="C492" i="4" s="1"/>
  <c r="C499" i="4" s="1"/>
  <c r="C159" i="4"/>
  <c r="C166" i="4" s="1"/>
  <c r="C173" i="4" s="1"/>
  <c r="C180" i="4" s="1"/>
  <c r="C187" i="4" s="1"/>
  <c r="C148" i="4"/>
  <c r="C155" i="4" s="1"/>
  <c r="C162" i="4" s="1"/>
  <c r="C169" i="4" s="1"/>
  <c r="C176" i="4" s="1"/>
  <c r="C183" i="4" s="1"/>
  <c r="C147" i="4"/>
  <c r="C154" i="4" s="1"/>
  <c r="C161" i="4" s="1"/>
  <c r="C168" i="4" s="1"/>
  <c r="C175" i="4" s="1"/>
  <c r="C182" i="4" s="1"/>
  <c r="C146" i="4"/>
  <c r="C153" i="4" s="1"/>
  <c r="C160" i="4" s="1"/>
  <c r="C167" i="4" s="1"/>
  <c r="C174" i="4" s="1"/>
  <c r="C181" i="4" s="1"/>
  <c r="C188" i="4" s="1"/>
  <c r="C145" i="4"/>
  <c r="C152" i="4" s="1"/>
  <c r="C144" i="4"/>
  <c r="C151" i="4" s="1"/>
  <c r="C158" i="4" s="1"/>
  <c r="C165" i="4" s="1"/>
  <c r="C172" i="4" s="1"/>
  <c r="C179" i="4" s="1"/>
  <c r="C186" i="4" s="1"/>
  <c r="C143" i="4"/>
  <c r="C150" i="4" s="1"/>
  <c r="C157" i="4" s="1"/>
  <c r="C164" i="4" s="1"/>
  <c r="C171" i="4" s="1"/>
  <c r="C178" i="4" s="1"/>
  <c r="C185" i="4" s="1"/>
  <c r="C142" i="4"/>
  <c r="C149" i="4" s="1"/>
  <c r="C156" i="4" s="1"/>
  <c r="C163" i="4" s="1"/>
  <c r="C170" i="4" s="1"/>
  <c r="C177" i="4" s="1"/>
  <c r="C184" i="4" s="1"/>
  <c r="B142" i="4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137" i="4"/>
  <c r="B138" i="4" s="1"/>
  <c r="B139" i="4" s="1"/>
  <c r="B140" i="4" s="1"/>
  <c r="B141" i="4" s="1"/>
  <c r="B136" i="4"/>
  <c r="E131" i="4"/>
  <c r="E130" i="4"/>
  <c r="E129" i="4"/>
  <c r="N128" i="4"/>
  <c r="E127" i="4"/>
  <c r="E126" i="4"/>
  <c r="E125" i="4"/>
  <c r="E124" i="4"/>
  <c r="E122" i="4"/>
  <c r="E121" i="4"/>
  <c r="E120" i="4"/>
  <c r="E119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J12" i="4" l="1"/>
  <c r="J65" i="4" s="1"/>
  <c r="I12" i="4"/>
  <c r="I65" i="4" s="1"/>
  <c r="I51" i="4" l="1"/>
  <c r="I64" i="4"/>
  <c r="J51" i="4"/>
  <c r="J64" i="4"/>
  <c r="I58" i="4"/>
  <c r="I62" i="4"/>
  <c r="I59" i="4"/>
  <c r="I60" i="4"/>
  <c r="I61" i="4"/>
  <c r="I57" i="4"/>
  <c r="I56" i="4"/>
  <c r="I63" i="4"/>
  <c r="J6" i="4"/>
  <c r="J57" i="4"/>
  <c r="J58" i="4"/>
  <c r="J61" i="4"/>
  <c r="J59" i="4"/>
  <c r="J60" i="4"/>
  <c r="J63" i="4"/>
  <c r="J62" i="4"/>
  <c r="J56" i="4"/>
  <c r="J55" i="4"/>
  <c r="J42" i="4"/>
  <c r="J47" i="4"/>
  <c r="J35" i="4"/>
  <c r="J54" i="4"/>
  <c r="J70" i="4" s="1"/>
  <c r="J48" i="4"/>
  <c r="J40" i="4"/>
  <c r="J41" i="4"/>
  <c r="J16" i="4"/>
  <c r="J71" i="4" s="1"/>
  <c r="J39" i="4"/>
  <c r="J50" i="4"/>
  <c r="J52" i="4"/>
  <c r="J37" i="4"/>
  <c r="J45" i="4"/>
  <c r="J38" i="4"/>
  <c r="J46" i="4"/>
  <c r="J49" i="4"/>
  <c r="J43" i="4"/>
  <c r="J36" i="4"/>
  <c r="J44" i="4"/>
  <c r="J53" i="4"/>
  <c r="I6" i="4"/>
  <c r="I38" i="4"/>
  <c r="I46" i="4"/>
  <c r="I55" i="4"/>
  <c r="I43" i="4"/>
  <c r="I52" i="4"/>
  <c r="I39" i="4"/>
  <c r="I47" i="4"/>
  <c r="I35" i="4"/>
  <c r="I40" i="4"/>
  <c r="I48" i="4"/>
  <c r="I41" i="4"/>
  <c r="I49" i="4"/>
  <c r="I42" i="4"/>
  <c r="I50" i="4"/>
  <c r="I36" i="4"/>
  <c r="I44" i="4"/>
  <c r="I53" i="4"/>
  <c r="I37" i="4"/>
  <c r="I45" i="4"/>
  <c r="I54" i="4"/>
  <c r="I16" i="4"/>
  <c r="I71" i="4" s="1"/>
  <c r="J17" i="4"/>
  <c r="K12" i="4"/>
  <c r="K65" i="4" s="1"/>
  <c r="K51" i="4" l="1"/>
  <c r="K64" i="4"/>
  <c r="K56" i="4"/>
  <c r="K57" i="4"/>
  <c r="K60" i="4"/>
  <c r="K58" i="4"/>
  <c r="K59" i="4"/>
  <c r="K63" i="4"/>
  <c r="K61" i="4"/>
  <c r="K62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2" i="4"/>
  <c r="K53" i="4"/>
  <c r="K54" i="4"/>
  <c r="K55" i="4"/>
  <c r="I17" i="4"/>
  <c r="I70" i="4"/>
  <c r="K6" i="4"/>
  <c r="K16" i="4"/>
  <c r="L12" i="4"/>
  <c r="L65" i="4" s="1"/>
  <c r="L51" i="4" l="1"/>
  <c r="L64" i="4"/>
  <c r="K70" i="4"/>
  <c r="L63" i="4"/>
  <c r="L56" i="4"/>
  <c r="L58" i="4"/>
  <c r="L57" i="4"/>
  <c r="L59" i="4"/>
  <c r="L60" i="4"/>
  <c r="L62" i="4"/>
  <c r="L61" i="4"/>
  <c r="L37" i="4"/>
  <c r="L39" i="4"/>
  <c r="L42" i="4"/>
  <c r="L44" i="4"/>
  <c r="L46" i="4"/>
  <c r="L48" i="4"/>
  <c r="L50" i="4"/>
  <c r="L53" i="4"/>
  <c r="L55" i="4"/>
  <c r="L40" i="4"/>
  <c r="L38" i="4"/>
  <c r="L41" i="4"/>
  <c r="L43" i="4"/>
  <c r="L45" i="4"/>
  <c r="L47" i="4"/>
  <c r="L49" i="4"/>
  <c r="L52" i="4"/>
  <c r="L54" i="4"/>
  <c r="L70" i="4" s="1"/>
  <c r="L36" i="4"/>
  <c r="L35" i="4"/>
  <c r="L6" i="4"/>
  <c r="L16" i="4"/>
  <c r="M12" i="4"/>
  <c r="M65" i="4" s="1"/>
  <c r="K71" i="4"/>
  <c r="K17" i="4"/>
  <c r="M51" i="4" l="1"/>
  <c r="M64" i="4"/>
  <c r="M62" i="4"/>
  <c r="M63" i="4"/>
  <c r="M56" i="4"/>
  <c r="M57" i="4"/>
  <c r="M60" i="4"/>
  <c r="M58" i="4"/>
  <c r="M61" i="4"/>
  <c r="M59" i="4"/>
  <c r="M37" i="4"/>
  <c r="M42" i="4"/>
  <c r="M44" i="4"/>
  <c r="M46" i="4"/>
  <c r="M48" i="4"/>
  <c r="M50" i="4"/>
  <c r="M53" i="4"/>
  <c r="M55" i="4"/>
  <c r="M40" i="4"/>
  <c r="M38" i="4"/>
  <c r="M39" i="4"/>
  <c r="M41" i="4"/>
  <c r="M43" i="4"/>
  <c r="M45" i="4"/>
  <c r="M47" i="4"/>
  <c r="M49" i="4"/>
  <c r="M52" i="4"/>
  <c r="M54" i="4"/>
  <c r="M70" i="4" s="1"/>
  <c r="M35" i="4"/>
  <c r="M36" i="4"/>
  <c r="M6" i="4"/>
  <c r="M16" i="4"/>
  <c r="N12" i="4"/>
  <c r="N65" i="4" s="1"/>
  <c r="L71" i="4"/>
  <c r="L17" i="4"/>
  <c r="N51" i="4" l="1"/>
  <c r="N64" i="4"/>
  <c r="N61" i="4"/>
  <c r="N57" i="4"/>
  <c r="N62" i="4"/>
  <c r="N63" i="4"/>
  <c r="N56" i="4"/>
  <c r="N60" i="4"/>
  <c r="N58" i="4"/>
  <c r="N59" i="4"/>
  <c r="N36" i="4"/>
  <c r="N38" i="4"/>
  <c r="N37" i="4"/>
  <c r="N39" i="4"/>
  <c r="N42" i="4"/>
  <c r="N44" i="4"/>
  <c r="N46" i="4"/>
  <c r="N48" i="4"/>
  <c r="N50" i="4"/>
  <c r="N53" i="4"/>
  <c r="N55" i="4"/>
  <c r="N40" i="4"/>
  <c r="N35" i="4"/>
  <c r="N41" i="4"/>
  <c r="N43" i="4"/>
  <c r="N45" i="4"/>
  <c r="N47" i="4"/>
  <c r="N49" i="4"/>
  <c r="N52" i="4"/>
  <c r="N54" i="4"/>
  <c r="N70" i="4" s="1"/>
  <c r="M71" i="4"/>
  <c r="M17" i="4"/>
  <c r="O12" i="4"/>
  <c r="O65" i="4" s="1"/>
  <c r="N16" i="4"/>
  <c r="N6" i="4"/>
  <c r="O51" i="4" l="1"/>
  <c r="O64" i="4"/>
  <c r="O60" i="4"/>
  <c r="O62" i="4"/>
  <c r="O61" i="4"/>
  <c r="O56" i="4"/>
  <c r="O63" i="4"/>
  <c r="O57" i="4"/>
  <c r="O58" i="4"/>
  <c r="O59" i="4"/>
  <c r="O36" i="4"/>
  <c r="O38" i="4"/>
  <c r="O37" i="4"/>
  <c r="O42" i="4"/>
  <c r="O44" i="4"/>
  <c r="O46" i="4"/>
  <c r="O48" i="4"/>
  <c r="O50" i="4"/>
  <c r="O53" i="4"/>
  <c r="O55" i="4"/>
  <c r="O35" i="4"/>
  <c r="O40" i="4"/>
  <c r="O39" i="4"/>
  <c r="O47" i="4"/>
  <c r="O41" i="4"/>
  <c r="O52" i="4"/>
  <c r="O45" i="4"/>
  <c r="O54" i="4"/>
  <c r="O70" i="4" s="1"/>
  <c r="O49" i="4"/>
  <c r="O43" i="4"/>
  <c r="N71" i="4"/>
  <c r="N17" i="4"/>
  <c r="O6" i="4"/>
  <c r="O16" i="4"/>
  <c r="P12" i="4"/>
  <c r="P65" i="4" s="1"/>
  <c r="P51" i="4" l="1"/>
  <c r="P64" i="4"/>
  <c r="P59" i="4"/>
  <c r="P60" i="4"/>
  <c r="P61" i="4"/>
  <c r="P62" i="4"/>
  <c r="P63" i="4"/>
  <c r="P58" i="4"/>
  <c r="P56" i="4"/>
  <c r="P57" i="4"/>
  <c r="P36" i="4"/>
  <c r="P38" i="4"/>
  <c r="P41" i="4"/>
  <c r="P43" i="4"/>
  <c r="P45" i="4"/>
  <c r="P47" i="4"/>
  <c r="P49" i="4"/>
  <c r="P52" i="4"/>
  <c r="P54" i="4"/>
  <c r="P70" i="4" s="1"/>
  <c r="P37" i="4"/>
  <c r="P35" i="4"/>
  <c r="P42" i="4"/>
  <c r="P44" i="4"/>
  <c r="P46" i="4"/>
  <c r="P48" i="4"/>
  <c r="P50" i="4"/>
  <c r="P53" i="4"/>
  <c r="P55" i="4"/>
  <c r="P40" i="4"/>
  <c r="P39" i="4"/>
  <c r="O71" i="4"/>
  <c r="O17" i="4"/>
  <c r="P6" i="4"/>
  <c r="P16" i="4"/>
  <c r="Q12" i="4"/>
  <c r="Q65" i="4" s="1"/>
  <c r="Q51" i="4" l="1"/>
  <c r="Q64" i="4"/>
  <c r="Q58" i="4"/>
  <c r="Q59" i="4"/>
  <c r="Q62" i="4"/>
  <c r="Q60" i="4"/>
  <c r="Q61" i="4"/>
  <c r="Q63" i="4"/>
  <c r="Q56" i="4"/>
  <c r="Q57" i="4"/>
  <c r="Q36" i="4"/>
  <c r="Q41" i="4"/>
  <c r="Q43" i="4"/>
  <c r="Q45" i="4"/>
  <c r="Q47" i="4"/>
  <c r="Q49" i="4"/>
  <c r="Q52" i="4"/>
  <c r="Q54" i="4"/>
  <c r="Q70" i="4" s="1"/>
  <c r="Q35" i="4"/>
  <c r="Q37" i="4"/>
  <c r="Q38" i="4"/>
  <c r="Q42" i="4"/>
  <c r="Q44" i="4"/>
  <c r="Q46" i="4"/>
  <c r="Q48" i="4"/>
  <c r="Q50" i="4"/>
  <c r="Q53" i="4"/>
  <c r="Q55" i="4"/>
  <c r="Q39" i="4"/>
  <c r="Q40" i="4"/>
  <c r="R12" i="4"/>
  <c r="R65" i="4" s="1"/>
  <c r="Q6" i="4"/>
  <c r="Q16" i="4"/>
  <c r="P71" i="4"/>
  <c r="P17" i="4"/>
  <c r="R51" i="4" l="1"/>
  <c r="R64" i="4"/>
  <c r="R57" i="4"/>
  <c r="R58" i="4"/>
  <c r="R59" i="4"/>
  <c r="R61" i="4"/>
  <c r="R60" i="4"/>
  <c r="R56" i="4"/>
  <c r="R62" i="4"/>
  <c r="R63" i="4"/>
  <c r="R43" i="4"/>
  <c r="R52" i="4"/>
  <c r="R42" i="4"/>
  <c r="R50" i="4"/>
  <c r="R41" i="4"/>
  <c r="R49" i="4"/>
  <c r="R40" i="4"/>
  <c r="R48" i="4"/>
  <c r="R39" i="4"/>
  <c r="R47" i="4"/>
  <c r="R38" i="4"/>
  <c r="R46" i="4"/>
  <c r="R55" i="4"/>
  <c r="R35" i="4"/>
  <c r="R37" i="4"/>
  <c r="R45" i="4"/>
  <c r="R54" i="4"/>
  <c r="R36" i="4"/>
  <c r="R44" i="4"/>
  <c r="R53" i="4"/>
  <c r="Q71" i="4"/>
  <c r="Q17" i="4"/>
  <c r="S12" i="4"/>
  <c r="S65" i="4" s="1"/>
  <c r="R6" i="4"/>
  <c r="R16" i="4"/>
  <c r="S51" i="4" l="1"/>
  <c r="S64" i="4"/>
  <c r="S56" i="4"/>
  <c r="S57" i="4"/>
  <c r="S58" i="4"/>
  <c r="S59" i="4"/>
  <c r="S60" i="4"/>
  <c r="S61" i="4"/>
  <c r="S62" i="4"/>
  <c r="S63" i="4"/>
  <c r="S38" i="4"/>
  <c r="S42" i="4"/>
  <c r="S46" i="4"/>
  <c r="S50" i="4"/>
  <c r="S55" i="4"/>
  <c r="S35" i="4"/>
  <c r="S37" i="4"/>
  <c r="S41" i="4"/>
  <c r="S45" i="4"/>
  <c r="S49" i="4"/>
  <c r="S54" i="4"/>
  <c r="S70" i="4" s="1"/>
  <c r="S36" i="4"/>
  <c r="S40" i="4"/>
  <c r="S44" i="4"/>
  <c r="S48" i="4"/>
  <c r="S53" i="4"/>
  <c r="S39" i="4"/>
  <c r="S43" i="4"/>
  <c r="S47" i="4"/>
  <c r="S52" i="4"/>
  <c r="R70" i="4"/>
  <c r="R71" i="4"/>
  <c r="R17" i="4"/>
  <c r="S6" i="4"/>
  <c r="S16" i="4"/>
  <c r="T12" i="4"/>
  <c r="T65" i="4" s="1"/>
  <c r="T51" i="4" l="1"/>
  <c r="T64" i="4"/>
  <c r="T63" i="4"/>
  <c r="T57" i="4"/>
  <c r="T56" i="4"/>
  <c r="T58" i="4"/>
  <c r="T59" i="4"/>
  <c r="T61" i="4"/>
  <c r="T62" i="4"/>
  <c r="T60" i="4"/>
  <c r="T39" i="4"/>
  <c r="T38" i="4"/>
  <c r="T42" i="4"/>
  <c r="T46" i="4"/>
  <c r="T50" i="4"/>
  <c r="T55" i="4"/>
  <c r="T35" i="4"/>
  <c r="T47" i="4"/>
  <c r="T52" i="4"/>
  <c r="T37" i="4"/>
  <c r="T41" i="4"/>
  <c r="T45" i="4"/>
  <c r="T49" i="4"/>
  <c r="T54" i="4"/>
  <c r="T70" i="4" s="1"/>
  <c r="T43" i="4"/>
  <c r="T36" i="4"/>
  <c r="T40" i="4"/>
  <c r="T44" i="4"/>
  <c r="T48" i="4"/>
  <c r="T53" i="4"/>
  <c r="S71" i="4"/>
  <c r="S17" i="4"/>
  <c r="T6" i="4"/>
  <c r="T16" i="4"/>
  <c r="U12" i="4"/>
  <c r="U65" i="4" s="1"/>
  <c r="U51" i="4" l="1"/>
  <c r="U64" i="4"/>
  <c r="U62" i="4"/>
  <c r="U63" i="4"/>
  <c r="U56" i="4"/>
  <c r="U57" i="4"/>
  <c r="U58" i="4"/>
  <c r="U59" i="4"/>
  <c r="U61" i="4"/>
  <c r="U60" i="4"/>
  <c r="U37" i="4"/>
  <c r="U36" i="4"/>
  <c r="U38" i="4"/>
  <c r="U40" i="4"/>
  <c r="U39" i="4"/>
  <c r="U41" i="4"/>
  <c r="U43" i="4"/>
  <c r="U45" i="4"/>
  <c r="U47" i="4"/>
  <c r="U49" i="4"/>
  <c r="U52" i="4"/>
  <c r="U54" i="4"/>
  <c r="U70" i="4" s="1"/>
  <c r="U35" i="4"/>
  <c r="U42" i="4"/>
  <c r="U44" i="4"/>
  <c r="U46" i="4"/>
  <c r="U48" i="4"/>
  <c r="U50" i="4"/>
  <c r="U53" i="4"/>
  <c r="U55" i="4"/>
  <c r="T71" i="4"/>
  <c r="T17" i="4"/>
  <c r="U6" i="4"/>
  <c r="U16" i="4"/>
  <c r="V12" i="4"/>
  <c r="V65" i="4" s="1"/>
  <c r="V51" i="4" l="1"/>
  <c r="V64" i="4"/>
  <c r="V61" i="4"/>
  <c r="V63" i="4"/>
  <c r="V62" i="4"/>
  <c r="V57" i="4"/>
  <c r="V56" i="4"/>
  <c r="V59" i="4"/>
  <c r="V60" i="4"/>
  <c r="V58" i="4"/>
  <c r="V37" i="4"/>
  <c r="V39" i="4"/>
  <c r="V36" i="4"/>
  <c r="V41" i="4"/>
  <c r="V43" i="4"/>
  <c r="V45" i="4"/>
  <c r="V47" i="4"/>
  <c r="V49" i="4"/>
  <c r="V52" i="4"/>
  <c r="V54" i="4"/>
  <c r="V70" i="4" s="1"/>
  <c r="V38" i="4"/>
  <c r="V35" i="4"/>
  <c r="V40" i="4"/>
  <c r="V50" i="4"/>
  <c r="V44" i="4"/>
  <c r="V55" i="4"/>
  <c r="V48" i="4"/>
  <c r="V42" i="4"/>
  <c r="V46" i="4"/>
  <c r="V53" i="4"/>
  <c r="U71" i="4"/>
  <c r="U17" i="4"/>
  <c r="V16" i="4"/>
  <c r="V6" i="4"/>
  <c r="W12" i="4"/>
  <c r="W65" i="4" s="1"/>
  <c r="W51" i="4" l="1"/>
  <c r="W64" i="4"/>
  <c r="W60" i="4"/>
  <c r="W61" i="4"/>
  <c r="W56" i="4"/>
  <c r="W62" i="4"/>
  <c r="W63" i="4"/>
  <c r="W58" i="4"/>
  <c r="W59" i="4"/>
  <c r="W57" i="4"/>
  <c r="W37" i="4"/>
  <c r="W39" i="4"/>
  <c r="W40" i="4"/>
  <c r="W42" i="4"/>
  <c r="W44" i="4"/>
  <c r="W46" i="4"/>
  <c r="W48" i="4"/>
  <c r="W50" i="4"/>
  <c r="W53" i="4"/>
  <c r="W55" i="4"/>
  <c r="W36" i="4"/>
  <c r="W41" i="4"/>
  <c r="W43" i="4"/>
  <c r="W45" i="4"/>
  <c r="W47" i="4"/>
  <c r="W49" i="4"/>
  <c r="W52" i="4"/>
  <c r="W54" i="4"/>
  <c r="W70" i="4" s="1"/>
  <c r="W38" i="4"/>
  <c r="W35" i="4"/>
  <c r="X12" i="4"/>
  <c r="X65" i="4" s="1"/>
  <c r="W6" i="4"/>
  <c r="W16" i="4"/>
  <c r="V71" i="4"/>
  <c r="V17" i="4"/>
  <c r="X51" i="4" l="1"/>
  <c r="X64" i="4"/>
  <c r="X59" i="4"/>
  <c r="X60" i="4"/>
  <c r="X63" i="4"/>
  <c r="X61" i="4"/>
  <c r="X62" i="4"/>
  <c r="X58" i="4"/>
  <c r="X56" i="4"/>
  <c r="X57" i="4"/>
  <c r="X39" i="4"/>
  <c r="X40" i="4"/>
  <c r="X42" i="4"/>
  <c r="X44" i="4"/>
  <c r="X46" i="4"/>
  <c r="X48" i="4"/>
  <c r="X50" i="4"/>
  <c r="X53" i="4"/>
  <c r="X55" i="4"/>
  <c r="X36" i="4"/>
  <c r="X37" i="4"/>
  <c r="X41" i="4"/>
  <c r="X43" i="4"/>
  <c r="X45" i="4"/>
  <c r="X47" i="4"/>
  <c r="X49" i="4"/>
  <c r="X52" i="4"/>
  <c r="X54" i="4"/>
  <c r="X70" i="4" s="1"/>
  <c r="X38" i="4"/>
  <c r="X35" i="4"/>
  <c r="W71" i="4"/>
  <c r="W17" i="4"/>
  <c r="X6" i="4"/>
  <c r="X16" i="4"/>
  <c r="Y12" i="4"/>
  <c r="Y65" i="4" s="1"/>
  <c r="Y51" i="4" l="1"/>
  <c r="Y64" i="4"/>
  <c r="Y58" i="4"/>
  <c r="Y59" i="4"/>
  <c r="Y60" i="4"/>
  <c r="Y62" i="4"/>
  <c r="Y61" i="4"/>
  <c r="Y57" i="4"/>
  <c r="Y56" i="4"/>
  <c r="Y63" i="4"/>
  <c r="Y36" i="4"/>
  <c r="Y38" i="4"/>
  <c r="Y37" i="4"/>
  <c r="Y39" i="4"/>
  <c r="Y35" i="4"/>
  <c r="Y40" i="4"/>
  <c r="Y42" i="4"/>
  <c r="Y44" i="4"/>
  <c r="Y46" i="4"/>
  <c r="Y48" i="4"/>
  <c r="Y50" i="4"/>
  <c r="Y53" i="4"/>
  <c r="Y55" i="4"/>
  <c r="Y41" i="4"/>
  <c r="Y43" i="4"/>
  <c r="Y45" i="4"/>
  <c r="Y47" i="4"/>
  <c r="Y49" i="4"/>
  <c r="Y52" i="4"/>
  <c r="Y54" i="4"/>
  <c r="Y70" i="4" s="1"/>
  <c r="X71" i="4"/>
  <c r="X17" i="4"/>
  <c r="Z12" i="4"/>
  <c r="Z65" i="4" s="1"/>
  <c r="Y6" i="4"/>
  <c r="Y16" i="4"/>
  <c r="Z51" i="4" l="1"/>
  <c r="Z64" i="4"/>
  <c r="Z57" i="4"/>
  <c r="Z58" i="4"/>
  <c r="Z59" i="4"/>
  <c r="Z60" i="4"/>
  <c r="Z61" i="4"/>
  <c r="Z63" i="4"/>
  <c r="Z56" i="4"/>
  <c r="Z62" i="4"/>
  <c r="Z36" i="4"/>
  <c r="Z38" i="4"/>
  <c r="Z35" i="4"/>
  <c r="Z39" i="4"/>
  <c r="Z40" i="4"/>
  <c r="Z42" i="4"/>
  <c r="Z44" i="4"/>
  <c r="Z46" i="4"/>
  <c r="Z48" i="4"/>
  <c r="Z50" i="4"/>
  <c r="Z53" i="4"/>
  <c r="Z55" i="4"/>
  <c r="Z37" i="4"/>
  <c r="Z54" i="4"/>
  <c r="Z70" i="4" s="1"/>
  <c r="Z47" i="4"/>
  <c r="Z41" i="4"/>
  <c r="Z52" i="4"/>
  <c r="Z49" i="4"/>
  <c r="Z45" i="4"/>
  <c r="Z43" i="4"/>
  <c r="Y71" i="4"/>
  <c r="Y17" i="4"/>
  <c r="Z6" i="4"/>
  <c r="Z16" i="4"/>
  <c r="AA12" i="4"/>
  <c r="AA65" i="4" s="1"/>
  <c r="AA51" i="4" l="1"/>
  <c r="AA64" i="4"/>
  <c r="AA56" i="4"/>
  <c r="AA58" i="4"/>
  <c r="AA60" i="4"/>
  <c r="AA57" i="4"/>
  <c r="AA59" i="4"/>
  <c r="AA62" i="4"/>
  <c r="AA61" i="4"/>
  <c r="AA63" i="4"/>
  <c r="AA36" i="4"/>
  <c r="AA38" i="4"/>
  <c r="AA41" i="4"/>
  <c r="AA43" i="4"/>
  <c r="AA45" i="4"/>
  <c r="AA47" i="4"/>
  <c r="AA49" i="4"/>
  <c r="AA52" i="4"/>
  <c r="AA54" i="4"/>
  <c r="AA70" i="4" s="1"/>
  <c r="AA35" i="4"/>
  <c r="AA39" i="4"/>
  <c r="AA40" i="4"/>
  <c r="AA42" i="4"/>
  <c r="AA44" i="4"/>
  <c r="AA46" i="4"/>
  <c r="AA48" i="4"/>
  <c r="AA50" i="4"/>
  <c r="AA53" i="4"/>
  <c r="AA55" i="4"/>
  <c r="AA37" i="4"/>
  <c r="Z71" i="4"/>
  <c r="Z17" i="4"/>
  <c r="AA6" i="4"/>
  <c r="AA16" i="4"/>
  <c r="AB12" i="4"/>
  <c r="AB65" i="4" s="1"/>
  <c r="AB51" i="4" l="1"/>
  <c r="AB64" i="4"/>
  <c r="AB63" i="4"/>
  <c r="AB56" i="4"/>
  <c r="AB57" i="4"/>
  <c r="AB59" i="4"/>
  <c r="AB58" i="4"/>
  <c r="AB60" i="4"/>
  <c r="AB62" i="4"/>
  <c r="AB61" i="4"/>
  <c r="AB38" i="4"/>
  <c r="AB41" i="4"/>
  <c r="AB43" i="4"/>
  <c r="AB45" i="4"/>
  <c r="AB47" i="4"/>
  <c r="AB49" i="4"/>
  <c r="AB52" i="4"/>
  <c r="AB54" i="4"/>
  <c r="AB70" i="4" s="1"/>
  <c r="AB35" i="4"/>
  <c r="AB36" i="4"/>
  <c r="AB39" i="4"/>
  <c r="AB40" i="4"/>
  <c r="AB42" i="4"/>
  <c r="AB44" i="4"/>
  <c r="AB46" i="4"/>
  <c r="AB48" i="4"/>
  <c r="AB50" i="4"/>
  <c r="AB53" i="4"/>
  <c r="AB55" i="4"/>
  <c r="AB37" i="4"/>
  <c r="AC12" i="4"/>
  <c r="AC65" i="4" s="1"/>
  <c r="AB6" i="4"/>
  <c r="AB16" i="4"/>
  <c r="AA71" i="4"/>
  <c r="AA17" i="4"/>
  <c r="AC51" i="4" l="1"/>
  <c r="AC64" i="4"/>
  <c r="AC62" i="4"/>
  <c r="AC56" i="4"/>
  <c r="AC63" i="4"/>
  <c r="AC57" i="4"/>
  <c r="AC59" i="4"/>
  <c r="AC61" i="4"/>
  <c r="AC60" i="4"/>
  <c r="AC58" i="4"/>
  <c r="AC37" i="4"/>
  <c r="AC36" i="4"/>
  <c r="AC38" i="4"/>
  <c r="AC41" i="4"/>
  <c r="AC43" i="4"/>
  <c r="AC45" i="4"/>
  <c r="AC47" i="4"/>
  <c r="AC49" i="4"/>
  <c r="AC52" i="4"/>
  <c r="AC54" i="4"/>
  <c r="AC70" i="4" s="1"/>
  <c r="AC35" i="4"/>
  <c r="AC39" i="4"/>
  <c r="AC40" i="4"/>
  <c r="AC42" i="4"/>
  <c r="AC44" i="4"/>
  <c r="AC46" i="4"/>
  <c r="AC48" i="4"/>
  <c r="AC50" i="4"/>
  <c r="AC53" i="4"/>
  <c r="AC55" i="4"/>
  <c r="AB71" i="4"/>
  <c r="AB17" i="4"/>
  <c r="AC6" i="4"/>
  <c r="AC16" i="4"/>
  <c r="AD12" i="4"/>
  <c r="AD65" i="4" s="1"/>
  <c r="AD51" i="4" l="1"/>
  <c r="AD64" i="4"/>
  <c r="AD61" i="4"/>
  <c r="AD62" i="4"/>
  <c r="AD63" i="4"/>
  <c r="AD57" i="4"/>
  <c r="AD56" i="4"/>
  <c r="AD58" i="4"/>
  <c r="AD59" i="4"/>
  <c r="AD60" i="4"/>
  <c r="AD37" i="4"/>
  <c r="AD39" i="4"/>
  <c r="AD38" i="4"/>
  <c r="AD41" i="4"/>
  <c r="AD43" i="4"/>
  <c r="AD45" i="4"/>
  <c r="AD47" i="4"/>
  <c r="AD49" i="4"/>
  <c r="AD52" i="4"/>
  <c r="AD54" i="4"/>
  <c r="AD70" i="4" s="1"/>
  <c r="AD36" i="4"/>
  <c r="AD35" i="4"/>
  <c r="AD40" i="4"/>
  <c r="AD50" i="4"/>
  <c r="AD44" i="4"/>
  <c r="AD55" i="4"/>
  <c r="AD48" i="4"/>
  <c r="AD46" i="4"/>
  <c r="AD42" i="4"/>
  <c r="AD53" i="4"/>
  <c r="AC71" i="4"/>
  <c r="AC17" i="4"/>
  <c r="AE12" i="4"/>
  <c r="AE65" i="4" s="1"/>
  <c r="AD6" i="4"/>
  <c r="AD16" i="4"/>
  <c r="AE51" i="4" l="1"/>
  <c r="AE64" i="4"/>
  <c r="AE60" i="4"/>
  <c r="AE61" i="4"/>
  <c r="AE62" i="4"/>
  <c r="AE63" i="4"/>
  <c r="AE56" i="4"/>
  <c r="AE57" i="4"/>
  <c r="AE58" i="4"/>
  <c r="AE59" i="4"/>
  <c r="AE37" i="4"/>
  <c r="AE40" i="4"/>
  <c r="AE42" i="4"/>
  <c r="AE44" i="4"/>
  <c r="AE46" i="4"/>
  <c r="AE48" i="4"/>
  <c r="AE50" i="4"/>
  <c r="AE53" i="4"/>
  <c r="AE55" i="4"/>
  <c r="AE38" i="4"/>
  <c r="AE41" i="4"/>
  <c r="AE43" i="4"/>
  <c r="AE45" i="4"/>
  <c r="AE47" i="4"/>
  <c r="AE49" i="4"/>
  <c r="AE52" i="4"/>
  <c r="AE54" i="4"/>
  <c r="AE70" i="4" s="1"/>
  <c r="AE36" i="4"/>
  <c r="AE39" i="4"/>
  <c r="AE35" i="4"/>
  <c r="AF12" i="4"/>
  <c r="AF65" i="4" s="1"/>
  <c r="AE6" i="4"/>
  <c r="AE16" i="4"/>
  <c r="AD71" i="4"/>
  <c r="AD17" i="4"/>
  <c r="AF51" i="4" l="1"/>
  <c r="AF64" i="4"/>
  <c r="AF59" i="4"/>
  <c r="AF63" i="4"/>
  <c r="AF60" i="4"/>
  <c r="AF61" i="4"/>
  <c r="AF62" i="4"/>
  <c r="AF57" i="4"/>
  <c r="AF58" i="4"/>
  <c r="AF56" i="4"/>
  <c r="AF37" i="4"/>
  <c r="AF40" i="4"/>
  <c r="AF42" i="4"/>
  <c r="AF44" i="4"/>
  <c r="AF46" i="4"/>
  <c r="AF48" i="4"/>
  <c r="AF50" i="4"/>
  <c r="AF53" i="4"/>
  <c r="AF55" i="4"/>
  <c r="AF38" i="4"/>
  <c r="AF41" i="4"/>
  <c r="AF43" i="4"/>
  <c r="AF45" i="4"/>
  <c r="AF47" i="4"/>
  <c r="AF49" i="4"/>
  <c r="AF52" i="4"/>
  <c r="AF54" i="4"/>
  <c r="AF70" i="4" s="1"/>
  <c r="AF36" i="4"/>
  <c r="AF39" i="4"/>
  <c r="AF35" i="4"/>
  <c r="AF6" i="4"/>
  <c r="AF16" i="4"/>
  <c r="AE71" i="4"/>
  <c r="AE17" i="4"/>
  <c r="AG12" i="4"/>
  <c r="AG65" i="4" s="1"/>
  <c r="AG51" i="4" l="1"/>
  <c r="AG64" i="4"/>
  <c r="AG58" i="4"/>
  <c r="AG59" i="4"/>
  <c r="AG60" i="4"/>
  <c r="AG61" i="4"/>
  <c r="AG62" i="4"/>
  <c r="AG56" i="4"/>
  <c r="AG57" i="4"/>
  <c r="AG63" i="4"/>
  <c r="AG36" i="4"/>
  <c r="AG38" i="4"/>
  <c r="AG37" i="4"/>
  <c r="AG39" i="4"/>
  <c r="AG35" i="4"/>
  <c r="AG40" i="4"/>
  <c r="AG42" i="4"/>
  <c r="AG44" i="4"/>
  <c r="AG46" i="4"/>
  <c r="AG48" i="4"/>
  <c r="AG50" i="4"/>
  <c r="AG53" i="4"/>
  <c r="AG55" i="4"/>
  <c r="AG41" i="4"/>
  <c r="AG43" i="4"/>
  <c r="AG45" i="4"/>
  <c r="AG47" i="4"/>
  <c r="AG49" i="4"/>
  <c r="AG52" i="4"/>
  <c r="AG54" i="4"/>
  <c r="AG70" i="4" s="1"/>
  <c r="AH12" i="4"/>
  <c r="AH65" i="4" s="1"/>
  <c r="AF71" i="4"/>
  <c r="AF17" i="4"/>
  <c r="AG6" i="4"/>
  <c r="AG16" i="4"/>
  <c r="AH51" i="4" l="1"/>
  <c r="AH64" i="4"/>
  <c r="AH57" i="4"/>
  <c r="AH61" i="4"/>
  <c r="AH58" i="4"/>
  <c r="AH59" i="4"/>
  <c r="AH60" i="4"/>
  <c r="AH63" i="4"/>
  <c r="AH62" i="4"/>
  <c r="AH56" i="4"/>
  <c r="AH36" i="4"/>
  <c r="AH38" i="4"/>
  <c r="AH39" i="4"/>
  <c r="AH37" i="4"/>
  <c r="AH35" i="4"/>
  <c r="AH40" i="4"/>
  <c r="AH42" i="4"/>
  <c r="AH44" i="4"/>
  <c r="AH46" i="4"/>
  <c r="AH48" i="4"/>
  <c r="AH50" i="4"/>
  <c r="AH53" i="4"/>
  <c r="AH55" i="4"/>
  <c r="AH43" i="4"/>
  <c r="AH54" i="4"/>
  <c r="AH70" i="4" s="1"/>
  <c r="AH47" i="4"/>
  <c r="AH41" i="4"/>
  <c r="AH52" i="4"/>
  <c r="AH49" i="4"/>
  <c r="AH45" i="4"/>
  <c r="AG71" i="4"/>
  <c r="AG17" i="4"/>
  <c r="AH6" i="4"/>
  <c r="AH16" i="4"/>
  <c r="AI12" i="4"/>
  <c r="AI65" i="4" s="1"/>
  <c r="AI51" i="4" l="1"/>
  <c r="AI64" i="4"/>
  <c r="AI56" i="4"/>
  <c r="AI58" i="4"/>
  <c r="AI57" i="4"/>
  <c r="AI60" i="4"/>
  <c r="AI59" i="4"/>
  <c r="AI63" i="4"/>
  <c r="AI61" i="4"/>
  <c r="AI62" i="4"/>
  <c r="AI37" i="4"/>
  <c r="AI45" i="4"/>
  <c r="AI54" i="4"/>
  <c r="AI70" i="4" s="1"/>
  <c r="AI36" i="4"/>
  <c r="AI44" i="4"/>
  <c r="AI53" i="4"/>
  <c r="AI43" i="4"/>
  <c r="AI52" i="4"/>
  <c r="AI42" i="4"/>
  <c r="AI50" i="4"/>
  <c r="AI41" i="4"/>
  <c r="AI49" i="4"/>
  <c r="AI39" i="4"/>
  <c r="AI47" i="4"/>
  <c r="AI46" i="4"/>
  <c r="AI40" i="4"/>
  <c r="AI38" i="4"/>
  <c r="AI35" i="4"/>
  <c r="AI55" i="4"/>
  <c r="AI48" i="4"/>
  <c r="AH71" i="4"/>
  <c r="AH17" i="4"/>
  <c r="AI6" i="4"/>
  <c r="AI16" i="4"/>
  <c r="AJ12" i="4"/>
  <c r="AJ65" i="4" s="1"/>
  <c r="AJ51" i="4" l="1"/>
  <c r="AJ64" i="4"/>
  <c r="AJ63" i="4"/>
  <c r="AJ57" i="4"/>
  <c r="AJ58" i="4"/>
  <c r="AJ59" i="4"/>
  <c r="AJ56" i="4"/>
  <c r="AJ60" i="4"/>
  <c r="AJ61" i="4"/>
  <c r="AJ62" i="4"/>
  <c r="AJ38" i="4"/>
  <c r="AJ46" i="4"/>
  <c r="AJ55" i="4"/>
  <c r="AJ37" i="4"/>
  <c r="AJ45" i="4"/>
  <c r="AJ54" i="4"/>
  <c r="AJ70" i="4" s="1"/>
  <c r="AJ36" i="4"/>
  <c r="AJ44" i="4"/>
  <c r="AJ53" i="4"/>
  <c r="AJ43" i="4"/>
  <c r="AJ52" i="4"/>
  <c r="AJ42" i="4"/>
  <c r="AJ50" i="4"/>
  <c r="AJ40" i="4"/>
  <c r="AJ48" i="4"/>
  <c r="AJ47" i="4"/>
  <c r="AJ41" i="4"/>
  <c r="AJ39" i="4"/>
  <c r="AJ35" i="4"/>
  <c r="AJ49" i="4"/>
  <c r="AJ6" i="4"/>
  <c r="AJ16" i="4"/>
  <c r="AI71" i="4"/>
  <c r="AI17" i="4"/>
  <c r="AK12" i="4"/>
  <c r="AK65" i="4" s="1"/>
  <c r="AK51" i="4" l="1"/>
  <c r="AK64" i="4"/>
  <c r="AK62" i="4"/>
  <c r="AK63" i="4"/>
  <c r="AK56" i="4"/>
  <c r="AK57" i="4"/>
  <c r="AK58" i="4"/>
  <c r="AK60" i="4"/>
  <c r="AK61" i="4"/>
  <c r="AK59" i="4"/>
  <c r="AK39" i="4"/>
  <c r="AK47" i="4"/>
  <c r="AK38" i="4"/>
  <c r="AK46" i="4"/>
  <c r="AK55" i="4"/>
  <c r="AK37" i="4"/>
  <c r="AK45" i="4"/>
  <c r="AK54" i="4"/>
  <c r="AK70" i="4" s="1"/>
  <c r="AK36" i="4"/>
  <c r="AK44" i="4"/>
  <c r="AK53" i="4"/>
  <c r="AK43" i="4"/>
  <c r="AK52" i="4"/>
  <c r="AK41" i="4"/>
  <c r="AK49" i="4"/>
  <c r="AK48" i="4"/>
  <c r="AK42" i="4"/>
  <c r="AK40" i="4"/>
  <c r="AK35" i="4"/>
  <c r="AK50" i="4"/>
  <c r="AL12" i="4"/>
  <c r="AL65" i="4" s="1"/>
  <c r="AK6" i="4"/>
  <c r="AK16" i="4"/>
  <c r="AJ71" i="4"/>
  <c r="AJ17" i="4"/>
  <c r="AL51" i="4" l="1"/>
  <c r="C6" i="1" s="1"/>
  <c r="AL64" i="4"/>
  <c r="AL61" i="4"/>
  <c r="AL57" i="4"/>
  <c r="AL62" i="4"/>
  <c r="AL63" i="4"/>
  <c r="AL56" i="4"/>
  <c r="AL59" i="4"/>
  <c r="AL60" i="4"/>
  <c r="AL58" i="4"/>
  <c r="AL40" i="4"/>
  <c r="AL48" i="4"/>
  <c r="AL39" i="4"/>
  <c r="AL47" i="4"/>
  <c r="AL38" i="4"/>
  <c r="AL46" i="4"/>
  <c r="AL55" i="4"/>
  <c r="AL37" i="4"/>
  <c r="AL45" i="4"/>
  <c r="AL54" i="4"/>
  <c r="AL70" i="4" s="1"/>
  <c r="AL36" i="4"/>
  <c r="AL44" i="4"/>
  <c r="AL53" i="4"/>
  <c r="AL42" i="4"/>
  <c r="AL50" i="4"/>
  <c r="C7" i="1" s="1"/>
  <c r="AL49" i="4"/>
  <c r="AL43" i="4"/>
  <c r="AL41" i="4"/>
  <c r="AL35" i="4"/>
  <c r="AL52" i="4"/>
  <c r="AL16" i="4"/>
  <c r="AL6" i="4"/>
  <c r="AL29" i="4" s="1"/>
  <c r="AK71" i="4"/>
  <c r="AK17" i="4"/>
  <c r="AM12" i="4"/>
  <c r="AM65" i="4" s="1"/>
  <c r="C23" i="1" l="1"/>
  <c r="C14" i="1"/>
  <c r="C5" i="1"/>
  <c r="C18" i="1"/>
  <c r="AM51" i="4"/>
  <c r="AM64" i="4"/>
  <c r="AM60" i="4"/>
  <c r="AM56" i="4"/>
  <c r="AM61" i="4"/>
  <c r="AM62" i="4"/>
  <c r="AM63" i="4"/>
  <c r="AM57" i="4"/>
  <c r="AM59" i="4"/>
  <c r="AM58" i="4"/>
  <c r="AM41" i="4"/>
  <c r="AM49" i="4"/>
  <c r="AM40" i="4"/>
  <c r="AM48" i="4"/>
  <c r="AM39" i="4"/>
  <c r="AM47" i="4"/>
  <c r="AM38" i="4"/>
  <c r="AM46" i="4"/>
  <c r="AM55" i="4"/>
  <c r="AM37" i="4"/>
  <c r="C32" i="1" s="1"/>
  <c r="AM45" i="4"/>
  <c r="AM54" i="4"/>
  <c r="AM70" i="4" s="1"/>
  <c r="AM43" i="4"/>
  <c r="AM52" i="4"/>
  <c r="AM50" i="4"/>
  <c r="AM44" i="4"/>
  <c r="AM42" i="4"/>
  <c r="AM36" i="4"/>
  <c r="AM35" i="4"/>
  <c r="AM53" i="4"/>
  <c r="AL71" i="4"/>
  <c r="AL17" i="4"/>
  <c r="AN12" i="4"/>
  <c r="AN65" i="4" s="1"/>
  <c r="AM6" i="4"/>
  <c r="AM29" i="4" s="1"/>
  <c r="AM16" i="4"/>
  <c r="AN51" i="4" l="1"/>
  <c r="AN64" i="4"/>
  <c r="AN59" i="4"/>
  <c r="AN60" i="4"/>
  <c r="AN61" i="4"/>
  <c r="AN63" i="4"/>
  <c r="AN62" i="4"/>
  <c r="AN56" i="4"/>
  <c r="AN58" i="4"/>
  <c r="AN57" i="4"/>
  <c r="AN42" i="4"/>
  <c r="AN50" i="4"/>
  <c r="AN41" i="4"/>
  <c r="AN49" i="4"/>
  <c r="AN40" i="4"/>
  <c r="AN48" i="4"/>
  <c r="AN39" i="4"/>
  <c r="AN47" i="4"/>
  <c r="AN38" i="4"/>
  <c r="AN46" i="4"/>
  <c r="AN55" i="4"/>
  <c r="AN36" i="4"/>
  <c r="AN44" i="4"/>
  <c r="AN53" i="4"/>
  <c r="AN52" i="4"/>
  <c r="AN54" i="4"/>
  <c r="AN70" i="4" s="1"/>
  <c r="AN45" i="4"/>
  <c r="AN43" i="4"/>
  <c r="AN37" i="4"/>
  <c r="AN35" i="4"/>
  <c r="AN6" i="4"/>
  <c r="AN29" i="4" s="1"/>
  <c r="AN16" i="4"/>
  <c r="AM71" i="4"/>
  <c r="AM17" i="4"/>
  <c r="AO12" i="4"/>
  <c r="AO65" i="4" s="1"/>
  <c r="AO51" i="4" l="1"/>
  <c r="AO64" i="4"/>
  <c r="AO58" i="4"/>
  <c r="AO62" i="4"/>
  <c r="AO59" i="4"/>
  <c r="AO60" i="4"/>
  <c r="AO61" i="4"/>
  <c r="AO56" i="4"/>
  <c r="AO57" i="4"/>
  <c r="AO63" i="4"/>
  <c r="AO43" i="4"/>
  <c r="AO52" i="4"/>
  <c r="AO42" i="4"/>
  <c r="AO50" i="4"/>
  <c r="AO41" i="4"/>
  <c r="AO49" i="4"/>
  <c r="AO40" i="4"/>
  <c r="AO48" i="4"/>
  <c r="AO39" i="4"/>
  <c r="AO47" i="4"/>
  <c r="AO37" i="4"/>
  <c r="AO45" i="4"/>
  <c r="AO53" i="4"/>
  <c r="AO35" i="4"/>
  <c r="AO46" i="4"/>
  <c r="AO54" i="4"/>
  <c r="AO70" i="4" s="1"/>
  <c r="AO44" i="4"/>
  <c r="AO38" i="4"/>
  <c r="AO36" i="4"/>
  <c r="AO55" i="4"/>
  <c r="AO6" i="4"/>
  <c r="AO29" i="4" s="1"/>
  <c r="AO16" i="4"/>
  <c r="AN71" i="4"/>
  <c r="AN17" i="4"/>
  <c r="AP12" i="4"/>
  <c r="AP65" i="4" s="1"/>
  <c r="AP51" i="4" l="1"/>
  <c r="AP64" i="4"/>
  <c r="AP57" i="4"/>
  <c r="AP58" i="4"/>
  <c r="AP61" i="4"/>
  <c r="AP59" i="4"/>
  <c r="AP60" i="4"/>
  <c r="AP56" i="4"/>
  <c r="AP63" i="4"/>
  <c r="AP62" i="4"/>
  <c r="AP36" i="4"/>
  <c r="AP44" i="4"/>
  <c r="AP53" i="4"/>
  <c r="AP43" i="4"/>
  <c r="AP52" i="4"/>
  <c r="AP42" i="4"/>
  <c r="AP50" i="4"/>
  <c r="AP41" i="4"/>
  <c r="AP49" i="4"/>
  <c r="AP40" i="4"/>
  <c r="AP48" i="4"/>
  <c r="AP38" i="4"/>
  <c r="AP46" i="4"/>
  <c r="AP47" i="4"/>
  <c r="AP35" i="4"/>
  <c r="AP45" i="4"/>
  <c r="AP54" i="4"/>
  <c r="AP70" i="4" s="1"/>
  <c r="AP39" i="4"/>
  <c r="AP37" i="4"/>
  <c r="AP55" i="4"/>
  <c r="AQ12" i="4"/>
  <c r="AQ65" i="4" s="1"/>
  <c r="AO71" i="4"/>
  <c r="AO17" i="4"/>
  <c r="AP6" i="4"/>
  <c r="AP29" i="4" s="1"/>
  <c r="AP16" i="4"/>
  <c r="AQ51" i="4" l="1"/>
  <c r="AQ64" i="4"/>
  <c r="AQ56" i="4"/>
  <c r="AQ57" i="4"/>
  <c r="AQ60" i="4"/>
  <c r="AQ58" i="4"/>
  <c r="AQ59" i="4"/>
  <c r="AQ61" i="4"/>
  <c r="AQ63" i="4"/>
  <c r="AQ62" i="4"/>
  <c r="AQ37" i="4"/>
  <c r="AQ45" i="4"/>
  <c r="AQ54" i="4"/>
  <c r="AQ70" i="4" s="1"/>
  <c r="AQ36" i="4"/>
  <c r="AQ44" i="4"/>
  <c r="AQ53" i="4"/>
  <c r="AQ43" i="4"/>
  <c r="AQ52" i="4"/>
  <c r="AQ42" i="4"/>
  <c r="AQ50" i="4"/>
  <c r="AQ41" i="4"/>
  <c r="AQ49" i="4"/>
  <c r="AQ39" i="4"/>
  <c r="AQ47" i="4"/>
  <c r="AQ48" i="4"/>
  <c r="AQ46" i="4"/>
  <c r="AQ35" i="4"/>
  <c r="AQ40" i="4"/>
  <c r="AQ38" i="4"/>
  <c r="AQ55" i="4"/>
  <c r="AP71" i="4"/>
  <c r="AP17" i="4"/>
  <c r="AQ6" i="4"/>
  <c r="AQ29" i="4" s="1"/>
  <c r="AQ16" i="4"/>
  <c r="AR12" i="4"/>
  <c r="AR65" i="4" s="1"/>
  <c r="AR51" i="4" l="1"/>
  <c r="AR64" i="4"/>
  <c r="AR63" i="4"/>
  <c r="AR56" i="4"/>
  <c r="AR58" i="4"/>
  <c r="AR59" i="4"/>
  <c r="AR57" i="4"/>
  <c r="AR61" i="4"/>
  <c r="AR62" i="4"/>
  <c r="AR60" i="4"/>
  <c r="AR38" i="4"/>
  <c r="AR46" i="4"/>
  <c r="AR55" i="4"/>
  <c r="AR37" i="4"/>
  <c r="AR45" i="4"/>
  <c r="AR54" i="4"/>
  <c r="AR70" i="4" s="1"/>
  <c r="AR36" i="4"/>
  <c r="AR44" i="4"/>
  <c r="AR53" i="4"/>
  <c r="AR43" i="4"/>
  <c r="AR52" i="4"/>
  <c r="AR42" i="4"/>
  <c r="AR50" i="4"/>
  <c r="AR40" i="4"/>
  <c r="AR48" i="4"/>
  <c r="AR49" i="4"/>
  <c r="AR47" i="4"/>
  <c r="AR41" i="4"/>
  <c r="AR35" i="4"/>
  <c r="AR39" i="4"/>
  <c r="AQ71" i="4"/>
  <c r="AQ17" i="4"/>
  <c r="AR6" i="4"/>
  <c r="AR29" i="4" s="1"/>
  <c r="AR16" i="4"/>
  <c r="AS12" i="4"/>
  <c r="AS65" i="4" s="1"/>
  <c r="AS51" i="4" l="1"/>
  <c r="AS64" i="4"/>
  <c r="AS62" i="4"/>
  <c r="AS63" i="4"/>
  <c r="AS56" i="4"/>
  <c r="AS57" i="4"/>
  <c r="AS58" i="4"/>
  <c r="AS61" i="4"/>
  <c r="AS59" i="4"/>
  <c r="AS60" i="4"/>
  <c r="AS39" i="4"/>
  <c r="AS47" i="4"/>
  <c r="AS38" i="4"/>
  <c r="AS46" i="4"/>
  <c r="AS55" i="4"/>
  <c r="AS37" i="4"/>
  <c r="AS45" i="4"/>
  <c r="AS54" i="4"/>
  <c r="AS70" i="4" s="1"/>
  <c r="AS36" i="4"/>
  <c r="AS44" i="4"/>
  <c r="AS53" i="4"/>
  <c r="AS43" i="4"/>
  <c r="AS52" i="4"/>
  <c r="AS41" i="4"/>
  <c r="AS49" i="4"/>
  <c r="AS50" i="4"/>
  <c r="AS48" i="4"/>
  <c r="AS42" i="4"/>
  <c r="AS40" i="4"/>
  <c r="AS35" i="4"/>
  <c r="AS6" i="4"/>
  <c r="AS29" i="4" s="1"/>
  <c r="AS16" i="4"/>
  <c r="AR71" i="4"/>
  <c r="AR17" i="4"/>
  <c r="AT12" i="4"/>
  <c r="AT65" i="4" s="1"/>
  <c r="AT51" i="4" l="1"/>
  <c r="AT64" i="4"/>
  <c r="AT61" i="4"/>
  <c r="AT63" i="4"/>
  <c r="AT62" i="4"/>
  <c r="AT56" i="4"/>
  <c r="AT57" i="4"/>
  <c r="AT58" i="4"/>
  <c r="AT59" i="4"/>
  <c r="AT60" i="4"/>
  <c r="AT40" i="4"/>
  <c r="AT48" i="4"/>
  <c r="AT39" i="4"/>
  <c r="AT47" i="4"/>
  <c r="AT38" i="4"/>
  <c r="AT46" i="4"/>
  <c r="AT55" i="4"/>
  <c r="AT37" i="4"/>
  <c r="AT45" i="4"/>
  <c r="AT54" i="4"/>
  <c r="AT70" i="4" s="1"/>
  <c r="AT36" i="4"/>
  <c r="AT44" i="4"/>
  <c r="AT53" i="4"/>
  <c r="AT42" i="4"/>
  <c r="AT50" i="4"/>
  <c r="AT52" i="4"/>
  <c r="AT49" i="4"/>
  <c r="AT43" i="4"/>
  <c r="AT41" i="4"/>
  <c r="AT35" i="4"/>
  <c r="AU12" i="4"/>
  <c r="AU65" i="4" s="1"/>
  <c r="AT6" i="4"/>
  <c r="AT29" i="4" s="1"/>
  <c r="AT16" i="4"/>
  <c r="AS71" i="4"/>
  <c r="AS17" i="4"/>
  <c r="AU51" i="4" l="1"/>
  <c r="AU64" i="4"/>
  <c r="AU60" i="4"/>
  <c r="AU61" i="4"/>
  <c r="AU56" i="4"/>
  <c r="AU62" i="4"/>
  <c r="AU63" i="4"/>
  <c r="AU59" i="4"/>
  <c r="AU58" i="4"/>
  <c r="AU57" i="4"/>
  <c r="AU41" i="4"/>
  <c r="AU49" i="4"/>
  <c r="AU40" i="4"/>
  <c r="AU48" i="4"/>
  <c r="AU39" i="4"/>
  <c r="AU47" i="4"/>
  <c r="AU38" i="4"/>
  <c r="AU46" i="4"/>
  <c r="AU55" i="4"/>
  <c r="AU37" i="4"/>
  <c r="AU45" i="4"/>
  <c r="AU54" i="4"/>
  <c r="AU70" i="4" s="1"/>
  <c r="AU43" i="4"/>
  <c r="AU52" i="4"/>
  <c r="AU53" i="4"/>
  <c r="AU50" i="4"/>
  <c r="AU44" i="4"/>
  <c r="AU42" i="4"/>
  <c r="AU36" i="4"/>
  <c r="AU35" i="4"/>
  <c r="AU6" i="4"/>
  <c r="AU29" i="4" s="1"/>
  <c r="AU16" i="4"/>
  <c r="AV12" i="4"/>
  <c r="AV65" i="4" s="1"/>
  <c r="AT71" i="4"/>
  <c r="AT17" i="4"/>
  <c r="AV51" i="4" l="1"/>
  <c r="AV64" i="4"/>
  <c r="AV59" i="4"/>
  <c r="AV60" i="4"/>
  <c r="AV61" i="4"/>
  <c r="AV62" i="4"/>
  <c r="AV63" i="4"/>
  <c r="AV57" i="4"/>
  <c r="AV56" i="4"/>
  <c r="AV58" i="4"/>
  <c r="AV42" i="4"/>
  <c r="AV50" i="4"/>
  <c r="AV41" i="4"/>
  <c r="AV49" i="4"/>
  <c r="AV40" i="4"/>
  <c r="AV48" i="4"/>
  <c r="AV39" i="4"/>
  <c r="AV47" i="4"/>
  <c r="AV38" i="4"/>
  <c r="AV46" i="4"/>
  <c r="AV55" i="4"/>
  <c r="AV36" i="4"/>
  <c r="AV44" i="4"/>
  <c r="AV53" i="4"/>
  <c r="AV52" i="4"/>
  <c r="AV45" i="4"/>
  <c r="AV54" i="4"/>
  <c r="AV70" i="4" s="1"/>
  <c r="AV43" i="4"/>
  <c r="AV37" i="4"/>
  <c r="AV35" i="4"/>
  <c r="AV6" i="4"/>
  <c r="AV29" i="4" s="1"/>
  <c r="AV16" i="4"/>
  <c r="AW12" i="4"/>
  <c r="AW65" i="4" s="1"/>
  <c r="AU71" i="4"/>
  <c r="AU17" i="4"/>
  <c r="AW51" i="4" l="1"/>
  <c r="AW64" i="4"/>
  <c r="AW58" i="4"/>
  <c r="AW59" i="4"/>
  <c r="AW62" i="4"/>
  <c r="AW60" i="4"/>
  <c r="AW61" i="4"/>
  <c r="AW57" i="4"/>
  <c r="AW63" i="4"/>
  <c r="AW56" i="4"/>
  <c r="AW43" i="4"/>
  <c r="AW52" i="4"/>
  <c r="AW42" i="4"/>
  <c r="AW50" i="4"/>
  <c r="AW41" i="4"/>
  <c r="AW49" i="4"/>
  <c r="AW40" i="4"/>
  <c r="AW48" i="4"/>
  <c r="AW39" i="4"/>
  <c r="AW47" i="4"/>
  <c r="AW37" i="4"/>
  <c r="AW45" i="4"/>
  <c r="AW35" i="4"/>
  <c r="AW53" i="4"/>
  <c r="AW46" i="4"/>
  <c r="AW44" i="4"/>
  <c r="AW54" i="4"/>
  <c r="AW70" i="4" s="1"/>
  <c r="AW38" i="4"/>
  <c r="AW55" i="4"/>
  <c r="AW36" i="4"/>
  <c r="AW6" i="4"/>
  <c r="AW29" i="4" s="1"/>
  <c r="AW16" i="4"/>
  <c r="AX12" i="4"/>
  <c r="AX65" i="4" s="1"/>
  <c r="AV71" i="4"/>
  <c r="AV17" i="4"/>
  <c r="AX51" i="4" l="1"/>
  <c r="AX64" i="4"/>
  <c r="AX57" i="4"/>
  <c r="AX58" i="4"/>
  <c r="AX59" i="4"/>
  <c r="AX61" i="4"/>
  <c r="AX60" i="4"/>
  <c r="AX62" i="4"/>
  <c r="AX63" i="4"/>
  <c r="AX56" i="4"/>
  <c r="AX36" i="4"/>
  <c r="AX44" i="4"/>
  <c r="AX53" i="4"/>
  <c r="AX43" i="4"/>
  <c r="AX52" i="4"/>
  <c r="AX42" i="4"/>
  <c r="AX50" i="4"/>
  <c r="AX41" i="4"/>
  <c r="AX49" i="4"/>
  <c r="AX40" i="4"/>
  <c r="AX48" i="4"/>
  <c r="AX38" i="4"/>
  <c r="AX46" i="4"/>
  <c r="AX55" i="4"/>
  <c r="AX35" i="4"/>
  <c r="AX47" i="4"/>
  <c r="AX45" i="4"/>
  <c r="AX39" i="4"/>
  <c r="AX54" i="4"/>
  <c r="AX70" i="4" s="1"/>
  <c r="AX37" i="4"/>
  <c r="AY12" i="4"/>
  <c r="AY65" i="4" s="1"/>
  <c r="AX6" i="4"/>
  <c r="AX29" i="4" s="1"/>
  <c r="AX16" i="4"/>
  <c r="AW71" i="4"/>
  <c r="AW17" i="4"/>
  <c r="AY51" i="4" l="1"/>
  <c r="AY64" i="4"/>
  <c r="AY56" i="4"/>
  <c r="AY57" i="4"/>
  <c r="AY58" i="4"/>
  <c r="AY59" i="4"/>
  <c r="AY60" i="4"/>
  <c r="AY62" i="4"/>
  <c r="AY61" i="4"/>
  <c r="AY63" i="4"/>
  <c r="AY37" i="4"/>
  <c r="AY45" i="4"/>
  <c r="AY54" i="4"/>
  <c r="AY70" i="4" s="1"/>
  <c r="AY36" i="4"/>
  <c r="AY44" i="4"/>
  <c r="AY53" i="4"/>
  <c r="AY43" i="4"/>
  <c r="AY52" i="4"/>
  <c r="AY42" i="4"/>
  <c r="AY50" i="4"/>
  <c r="AY41" i="4"/>
  <c r="AY49" i="4"/>
  <c r="AY39" i="4"/>
  <c r="AY47" i="4"/>
  <c r="AY55" i="4"/>
  <c r="AY35" i="4"/>
  <c r="AY48" i="4"/>
  <c r="AY46" i="4"/>
  <c r="AY40" i="4"/>
  <c r="AY38" i="4"/>
  <c r="AY6" i="4"/>
  <c r="AY29" i="4" s="1"/>
  <c r="AY16" i="4"/>
  <c r="AX71" i="4"/>
  <c r="AX17" i="4"/>
  <c r="AZ12" i="4"/>
  <c r="AZ65" i="4" s="1"/>
  <c r="AZ51" i="4" l="1"/>
  <c r="AZ64" i="4"/>
  <c r="AZ63" i="4"/>
  <c r="AZ56" i="4"/>
  <c r="AZ57" i="4"/>
  <c r="AZ58" i="4"/>
  <c r="AZ59" i="4"/>
  <c r="AZ60" i="4"/>
  <c r="AZ62" i="4"/>
  <c r="AZ61" i="4"/>
  <c r="AZ38" i="4"/>
  <c r="AZ46" i="4"/>
  <c r="AZ55" i="4"/>
  <c r="AZ37" i="4"/>
  <c r="AZ45" i="4"/>
  <c r="AZ54" i="4"/>
  <c r="AZ70" i="4" s="1"/>
  <c r="AZ36" i="4"/>
  <c r="AZ44" i="4"/>
  <c r="AZ53" i="4"/>
  <c r="AZ43" i="4"/>
  <c r="AZ52" i="4"/>
  <c r="AZ42" i="4"/>
  <c r="AZ50" i="4"/>
  <c r="AZ40" i="4"/>
  <c r="AZ48" i="4"/>
  <c r="AZ49" i="4"/>
  <c r="AZ35" i="4"/>
  <c r="AZ47" i="4"/>
  <c r="AZ41" i="4"/>
  <c r="AZ39" i="4"/>
  <c r="AZ6" i="4"/>
  <c r="AZ29" i="4" s="1"/>
  <c r="AZ16" i="4"/>
  <c r="AY71" i="4"/>
  <c r="AY17" i="4"/>
  <c r="BA12" i="4"/>
  <c r="BA65" i="4" s="1"/>
  <c r="BA51" i="4" l="1"/>
  <c r="BA64" i="4"/>
  <c r="BA62" i="4"/>
  <c r="BA56" i="4"/>
  <c r="BA57" i="4"/>
  <c r="BA63" i="4"/>
  <c r="BA61" i="4"/>
  <c r="BA59" i="4"/>
  <c r="BA58" i="4"/>
  <c r="BA60" i="4"/>
  <c r="BA39" i="4"/>
  <c r="BA47" i="4"/>
  <c r="BA38" i="4"/>
  <c r="BA46" i="4"/>
  <c r="BA55" i="4"/>
  <c r="BA37" i="4"/>
  <c r="BA45" i="4"/>
  <c r="BA54" i="4"/>
  <c r="BA70" i="4" s="1"/>
  <c r="BA36" i="4"/>
  <c r="BA44" i="4"/>
  <c r="BA53" i="4"/>
  <c r="BA43" i="4"/>
  <c r="BA52" i="4"/>
  <c r="BA41" i="4"/>
  <c r="BA49" i="4"/>
  <c r="BA50" i="4"/>
  <c r="BA48" i="4"/>
  <c r="BA35" i="4"/>
  <c r="BA42" i="4"/>
  <c r="BA40" i="4"/>
  <c r="AZ71" i="4"/>
  <c r="AZ17" i="4"/>
  <c r="BA6" i="4"/>
  <c r="BA29" i="4" s="1"/>
  <c r="BA16" i="4"/>
  <c r="BB12" i="4"/>
  <c r="BB65" i="4" s="1"/>
  <c r="BB51" i="4" l="1"/>
  <c r="BB64" i="4"/>
  <c r="BB61" i="4"/>
  <c r="BB62" i="4"/>
  <c r="BB63" i="4"/>
  <c r="BB57" i="4"/>
  <c r="BB56" i="4"/>
  <c r="BB60" i="4"/>
  <c r="BB58" i="4"/>
  <c r="BB59" i="4"/>
  <c r="BB40" i="4"/>
  <c r="BB48" i="4"/>
  <c r="BB39" i="4"/>
  <c r="BB47" i="4"/>
  <c r="BB38" i="4"/>
  <c r="BB46" i="4"/>
  <c r="BB55" i="4"/>
  <c r="BB37" i="4"/>
  <c r="BB45" i="4"/>
  <c r="BB54" i="4"/>
  <c r="BB70" i="4" s="1"/>
  <c r="BB36" i="4"/>
  <c r="BB44" i="4"/>
  <c r="BB53" i="4"/>
  <c r="BB42" i="4"/>
  <c r="BB50" i="4"/>
  <c r="BB52" i="4"/>
  <c r="BB49" i="4"/>
  <c r="BB43" i="4"/>
  <c r="BB35" i="4"/>
  <c r="BB41" i="4"/>
  <c r="BA71" i="4"/>
  <c r="BA17" i="4"/>
  <c r="BB16" i="4"/>
  <c r="BB6" i="4"/>
  <c r="BB29" i="4" s="1"/>
  <c r="BC12" i="4"/>
  <c r="BC65" i="4" s="1"/>
  <c r="BC51" i="4" l="1"/>
  <c r="BC64" i="4"/>
  <c r="BC60" i="4"/>
  <c r="BC62" i="4"/>
  <c r="BC61" i="4"/>
  <c r="BC56" i="4"/>
  <c r="BC63" i="4"/>
  <c r="BC57" i="4"/>
  <c r="BC59" i="4"/>
  <c r="BC58" i="4"/>
  <c r="BC41" i="4"/>
  <c r="BC49" i="4"/>
  <c r="BC40" i="4"/>
  <c r="BC48" i="4"/>
  <c r="BC39" i="4"/>
  <c r="BC47" i="4"/>
  <c r="BC38" i="4"/>
  <c r="BC46" i="4"/>
  <c r="BC55" i="4"/>
  <c r="BC37" i="4"/>
  <c r="BC45" i="4"/>
  <c r="BC54" i="4"/>
  <c r="BC70" i="4" s="1"/>
  <c r="BC43" i="4"/>
  <c r="BC52" i="4"/>
  <c r="BC53" i="4"/>
  <c r="BC50" i="4"/>
  <c r="BC44" i="4"/>
  <c r="BC42" i="4"/>
  <c r="BC35" i="4"/>
  <c r="BC36" i="4"/>
  <c r="BC6" i="4"/>
  <c r="BC29" i="4" s="1"/>
  <c r="BC16" i="4"/>
  <c r="BD12" i="4"/>
  <c r="BD65" i="4" s="1"/>
  <c r="BB71" i="4"/>
  <c r="BB17" i="4"/>
  <c r="BD51" i="4" l="1"/>
  <c r="BD64" i="4"/>
  <c r="BD59" i="4"/>
  <c r="BD60" i="4"/>
  <c r="BD63" i="4"/>
  <c r="BD61" i="4"/>
  <c r="BD62" i="4"/>
  <c r="BD56" i="4"/>
  <c r="BD58" i="4"/>
  <c r="BD57" i="4"/>
  <c r="BD42" i="4"/>
  <c r="BD50" i="4"/>
  <c r="BD41" i="4"/>
  <c r="BD49" i="4"/>
  <c r="BD40" i="4"/>
  <c r="BD48" i="4"/>
  <c r="BD39" i="4"/>
  <c r="BD47" i="4"/>
  <c r="BD38" i="4"/>
  <c r="BD46" i="4"/>
  <c r="BD55" i="4"/>
  <c r="BD36" i="4"/>
  <c r="BD44" i="4"/>
  <c r="BD53" i="4"/>
  <c r="BD52" i="4"/>
  <c r="BD45" i="4"/>
  <c r="BD43" i="4"/>
  <c r="BD54" i="4"/>
  <c r="BD70" i="4" s="1"/>
  <c r="BD37" i="4"/>
  <c r="BD35" i="4"/>
  <c r="BE12" i="4"/>
  <c r="BE65" i="4" s="1"/>
  <c r="BC71" i="4"/>
  <c r="BC17" i="4"/>
  <c r="BD6" i="4"/>
  <c r="BD29" i="4" s="1"/>
  <c r="BD16" i="4"/>
  <c r="BE51" i="4" l="1"/>
  <c r="BE64" i="4"/>
  <c r="BE58" i="4"/>
  <c r="BE59" i="4"/>
  <c r="BE60" i="4"/>
  <c r="BE62" i="4"/>
  <c r="BE61" i="4"/>
  <c r="BE63" i="4"/>
  <c r="BE57" i="4"/>
  <c r="BE56" i="4"/>
  <c r="BE43" i="4"/>
  <c r="BE52" i="4"/>
  <c r="BE42" i="4"/>
  <c r="BE50" i="4"/>
  <c r="BE41" i="4"/>
  <c r="BE49" i="4"/>
  <c r="BE40" i="4"/>
  <c r="BE48" i="4"/>
  <c r="BE39" i="4"/>
  <c r="BE47" i="4"/>
  <c r="BE37" i="4"/>
  <c r="BE45" i="4"/>
  <c r="BE36" i="4"/>
  <c r="BE35" i="4"/>
  <c r="BE55" i="4"/>
  <c r="BE53" i="4"/>
  <c r="BE46" i="4"/>
  <c r="BE44" i="4"/>
  <c r="BE38" i="4"/>
  <c r="BE54" i="4"/>
  <c r="BE70" i="4" s="1"/>
  <c r="BD71" i="4"/>
  <c r="BD17" i="4"/>
  <c r="BF12" i="4"/>
  <c r="BF65" i="4" s="1"/>
  <c r="BE6" i="4"/>
  <c r="BE29" i="4" s="1"/>
  <c r="BE16" i="4"/>
  <c r="BF51" i="4" l="1"/>
  <c r="BF64" i="4"/>
  <c r="BF57" i="4"/>
  <c r="BF58" i="4"/>
  <c r="BF59" i="4"/>
  <c r="BF60" i="4"/>
  <c r="BF61" i="4"/>
  <c r="BF63" i="4"/>
  <c r="BF62" i="4"/>
  <c r="BF56" i="4"/>
  <c r="BF36" i="4"/>
  <c r="BF44" i="4"/>
  <c r="BF53" i="4"/>
  <c r="BF43" i="4"/>
  <c r="BF52" i="4"/>
  <c r="BF42" i="4"/>
  <c r="BF50" i="4"/>
  <c r="BF41" i="4"/>
  <c r="BF49" i="4"/>
  <c r="BF40" i="4"/>
  <c r="BF48" i="4"/>
  <c r="BF38" i="4"/>
  <c r="BF46" i="4"/>
  <c r="BF37" i="4"/>
  <c r="BF54" i="4"/>
  <c r="BF70" i="4" s="1"/>
  <c r="BF35" i="4"/>
  <c r="BF55" i="4"/>
  <c r="BF47" i="4"/>
  <c r="BF45" i="4"/>
  <c r="BF39" i="4"/>
  <c r="BG12" i="4"/>
  <c r="BG65" i="4" s="1"/>
  <c r="BF6" i="4"/>
  <c r="BF29" i="4" s="1"/>
  <c r="BF16" i="4"/>
  <c r="BE71" i="4"/>
  <c r="BE17" i="4"/>
  <c r="BG51" i="4" l="1"/>
  <c r="BG64" i="4"/>
  <c r="BG56" i="4"/>
  <c r="BG58" i="4"/>
  <c r="BG60" i="4"/>
  <c r="BG57" i="4"/>
  <c r="BG59" i="4"/>
  <c r="BG62" i="4"/>
  <c r="BG63" i="4"/>
  <c r="BG61" i="4"/>
  <c r="BG37" i="4"/>
  <c r="BG45" i="4"/>
  <c r="BG54" i="4"/>
  <c r="BG36" i="4"/>
  <c r="BG44" i="4"/>
  <c r="BG53" i="4"/>
  <c r="BG43" i="4"/>
  <c r="BG52" i="4"/>
  <c r="BG42" i="4"/>
  <c r="BG50" i="4"/>
  <c r="BG41" i="4"/>
  <c r="BG49" i="4"/>
  <c r="BG39" i="4"/>
  <c r="BG47" i="4"/>
  <c r="BG38" i="4"/>
  <c r="BG35" i="4"/>
  <c r="BG55" i="4"/>
  <c r="BG48" i="4"/>
  <c r="BG46" i="4"/>
  <c r="BG40" i="4"/>
  <c r="BG6" i="4"/>
  <c r="BG29" i="4" s="1"/>
  <c r="BG16" i="4"/>
  <c r="BF71" i="4"/>
  <c r="BF17" i="4"/>
  <c r="BH12" i="4"/>
  <c r="BH65" i="4" s="1"/>
  <c r="BH51" i="4" l="1"/>
  <c r="BH64" i="4"/>
  <c r="BH63" i="4"/>
  <c r="BH57" i="4"/>
  <c r="BH59" i="4"/>
  <c r="BH56" i="4"/>
  <c r="BH58" i="4"/>
  <c r="BH60" i="4"/>
  <c r="BH62" i="4"/>
  <c r="BH61" i="4"/>
  <c r="BG70" i="4"/>
  <c r="BH38" i="4"/>
  <c r="BH46" i="4"/>
  <c r="BH55" i="4"/>
  <c r="BH37" i="4"/>
  <c r="BH45" i="4"/>
  <c r="BH54" i="4"/>
  <c r="BH70" i="4" s="1"/>
  <c r="BH36" i="4"/>
  <c r="BH44" i="4"/>
  <c r="BH53" i="4"/>
  <c r="BH43" i="4"/>
  <c r="BH52" i="4"/>
  <c r="BH42" i="4"/>
  <c r="BH50" i="4"/>
  <c r="BH40" i="4"/>
  <c r="BH48" i="4"/>
  <c r="BH39" i="4"/>
  <c r="BH35" i="4"/>
  <c r="BH49" i="4"/>
  <c r="BH47" i="4"/>
  <c r="BH41" i="4"/>
  <c r="BG71" i="4"/>
  <c r="BG17" i="4"/>
  <c r="BI12" i="4"/>
  <c r="BI65" i="4" s="1"/>
  <c r="BH6" i="4"/>
  <c r="BH16" i="4"/>
  <c r="BI51" i="4" l="1"/>
  <c r="BI64" i="4"/>
  <c r="BI62" i="4"/>
  <c r="BI63" i="4"/>
  <c r="BI56" i="4"/>
  <c r="BI57" i="4"/>
  <c r="BI61" i="4"/>
  <c r="BI60" i="4"/>
  <c r="BI59" i="4"/>
  <c r="BI58" i="4"/>
  <c r="BI16" i="4"/>
  <c r="BI71" i="4" s="1"/>
  <c r="BI39" i="4"/>
  <c r="BI47" i="4"/>
  <c r="BI38" i="4"/>
  <c r="BI46" i="4"/>
  <c r="BI55" i="4"/>
  <c r="BI37" i="4"/>
  <c r="BI45" i="4"/>
  <c r="BI54" i="4"/>
  <c r="BI70" i="4" s="1"/>
  <c r="BI36" i="4"/>
  <c r="BI44" i="4"/>
  <c r="BI53" i="4"/>
  <c r="BI43" i="4"/>
  <c r="BI52" i="4"/>
  <c r="BI41" i="4"/>
  <c r="BI49" i="4"/>
  <c r="BI40" i="4"/>
  <c r="BI35" i="4"/>
  <c r="BI50" i="4"/>
  <c r="BI48" i="4"/>
  <c r="BI42" i="4"/>
  <c r="BH71" i="4"/>
  <c r="BH17" i="4"/>
  <c r="BJ12" i="4"/>
  <c r="BJ65" i="4" s="1"/>
  <c r="BI17" i="4"/>
  <c r="BJ51" i="4" l="1"/>
  <c r="BJ64" i="4"/>
  <c r="BJ61" i="4"/>
  <c r="BJ63" i="4"/>
  <c r="BJ62" i="4"/>
  <c r="BJ57" i="4"/>
  <c r="BJ56" i="4"/>
  <c r="BJ58" i="4"/>
  <c r="BJ60" i="4"/>
  <c r="BJ59" i="4"/>
  <c r="BJ16" i="4"/>
  <c r="BJ17" i="4" s="1"/>
  <c r="BJ40" i="4"/>
  <c r="BJ48" i="4"/>
  <c r="BJ39" i="4"/>
  <c r="BJ47" i="4"/>
  <c r="BJ38" i="4"/>
  <c r="BJ46" i="4"/>
  <c r="BJ55" i="4"/>
  <c r="BJ37" i="4"/>
  <c r="BJ45" i="4"/>
  <c r="BJ54" i="4"/>
  <c r="BJ36" i="4"/>
  <c r="BJ44" i="4"/>
  <c r="BJ53" i="4"/>
  <c r="BJ42" i="4"/>
  <c r="BJ50" i="4"/>
  <c r="BJ41" i="4"/>
  <c r="BJ52" i="4"/>
  <c r="BJ35" i="4"/>
  <c r="BJ49" i="4"/>
  <c r="BJ43" i="4"/>
  <c r="BK12" i="4"/>
  <c r="BK65" i="4" s="1"/>
  <c r="BK51" i="4" l="1"/>
  <c r="BK64" i="4"/>
  <c r="BK60" i="4"/>
  <c r="BK61" i="4"/>
  <c r="BK62" i="4"/>
  <c r="BK63" i="4"/>
  <c r="BK56" i="4"/>
  <c r="BK58" i="4"/>
  <c r="BK57" i="4"/>
  <c r="BK59" i="4"/>
  <c r="BK16" i="4"/>
  <c r="BK17" i="4" s="1"/>
  <c r="BK41" i="4"/>
  <c r="BK49" i="4"/>
  <c r="BK40" i="4"/>
  <c r="BK48" i="4"/>
  <c r="BK39" i="4"/>
  <c r="BK47" i="4"/>
  <c r="BK38" i="4"/>
  <c r="BK46" i="4"/>
  <c r="BK55" i="4"/>
  <c r="BK37" i="4"/>
  <c r="BK45" i="4"/>
  <c r="BK54" i="4"/>
  <c r="BK43" i="4"/>
  <c r="BK52" i="4"/>
  <c r="BK42" i="4"/>
  <c r="BK36" i="4"/>
  <c r="BK53" i="4"/>
  <c r="BK50" i="4"/>
  <c r="BK35" i="4"/>
  <c r="BK44" i="4"/>
  <c r="BM12" i="4"/>
  <c r="BM65" i="4" s="1"/>
  <c r="BL12" i="4"/>
  <c r="BL65" i="4" s="1"/>
  <c r="BM51" i="4" l="1"/>
  <c r="BM64" i="4"/>
  <c r="BL51" i="4"/>
  <c r="BL64" i="4"/>
  <c r="BM58" i="4"/>
  <c r="BM62" i="4"/>
  <c r="BM59" i="4"/>
  <c r="BM60" i="4"/>
  <c r="BM61" i="4"/>
  <c r="BM57" i="4"/>
  <c r="BM56" i="4"/>
  <c r="BM63" i="4"/>
  <c r="BL59" i="4"/>
  <c r="BL63" i="4"/>
  <c r="BL60" i="4"/>
  <c r="BL61" i="4"/>
  <c r="BL62" i="4"/>
  <c r="BL56" i="4"/>
  <c r="BL58" i="4"/>
  <c r="BL57" i="4"/>
  <c r="BL16" i="4"/>
  <c r="BL17" i="4" s="1"/>
  <c r="BL42" i="4"/>
  <c r="BL50" i="4"/>
  <c r="BL41" i="4"/>
  <c r="BL49" i="4"/>
  <c r="BL40" i="4"/>
  <c r="BL48" i="4"/>
  <c r="BL39" i="4"/>
  <c r="BL47" i="4"/>
  <c r="BL38" i="4"/>
  <c r="BL46" i="4"/>
  <c r="BL55" i="4"/>
  <c r="BL36" i="4"/>
  <c r="BL44" i="4"/>
  <c r="BL43" i="4"/>
  <c r="BL37" i="4"/>
  <c r="BL54" i="4"/>
  <c r="BL52" i="4"/>
  <c r="BL53" i="4"/>
  <c r="BL35" i="4"/>
  <c r="BL45" i="4"/>
  <c r="BM16" i="4"/>
  <c r="BM17" i="4" s="1"/>
  <c r="BM43" i="4"/>
  <c r="BM52" i="4"/>
  <c r="BM42" i="4"/>
  <c r="BM50" i="4"/>
  <c r="BM41" i="4"/>
  <c r="BM49" i="4"/>
  <c r="BM40" i="4"/>
  <c r="BM48" i="4"/>
  <c r="BM39" i="4"/>
  <c r="BM47" i="4"/>
  <c r="BM37" i="4"/>
  <c r="BM45" i="4"/>
  <c r="BM44" i="4"/>
  <c r="BM35" i="4"/>
  <c r="BM38" i="4"/>
  <c r="BM36" i="4"/>
  <c r="BM54" i="4"/>
  <c r="BM55" i="4"/>
  <c r="BM46" i="4"/>
  <c r="BM53" i="4"/>
</calcChain>
</file>

<file path=xl/sharedStrings.xml><?xml version="1.0" encoding="utf-8"?>
<sst xmlns="http://schemas.openxmlformats.org/spreadsheetml/2006/main" count="612" uniqueCount="274">
  <si>
    <t>COLLECTION DATE</t>
  </si>
  <si>
    <t>DELIVERY    DATE</t>
  </si>
  <si>
    <t xml:space="preserve">COLLECTION DEPOT </t>
  </si>
  <si>
    <t xml:space="preserve">COLLECTION REFERENCE </t>
  </si>
  <si>
    <t xml:space="preserve">NWF  CRATE PO NUMBER </t>
  </si>
  <si>
    <t>DELIVERY SITE</t>
  </si>
  <si>
    <t>CUSTOMER</t>
  </si>
  <si>
    <t>Pallets</t>
  </si>
  <si>
    <t>Comments</t>
  </si>
  <si>
    <t>35MAXH</t>
  </si>
  <si>
    <t xml:space="preserve"> 35MAXN</t>
  </si>
  <si>
    <t>35IF6420</t>
  </si>
  <si>
    <t>35IF4314</t>
  </si>
  <si>
    <t>35DEEP</t>
  </si>
  <si>
    <t>35HALF</t>
  </si>
  <si>
    <t>35SHAL</t>
  </si>
  <si>
    <t>IFCO 4314</t>
  </si>
  <si>
    <t>CHBA6425</t>
  </si>
  <si>
    <t>CHBA3418</t>
  </si>
  <si>
    <t>CHBA6416</t>
  </si>
  <si>
    <t>35JSDEEP</t>
  </si>
  <si>
    <t>35JSHALF</t>
  </si>
  <si>
    <t>35JSSHAL</t>
  </si>
  <si>
    <t xml:space="preserve">Transport PO </t>
  </si>
  <si>
    <t>ADDITIONAL</t>
  </si>
  <si>
    <t>AMENDS</t>
  </si>
  <si>
    <t>FRESHCUT</t>
  </si>
  <si>
    <t>CANCELLATION</t>
  </si>
  <si>
    <t>SAINSBURYS</t>
  </si>
  <si>
    <t>Collection depot</t>
  </si>
  <si>
    <t>cost</t>
  </si>
  <si>
    <t>new rate 06.11.2021</t>
  </si>
  <si>
    <t>Basingstoke</t>
  </si>
  <si>
    <t>Emerald Park, Bristol</t>
  </si>
  <si>
    <t>Dartford</t>
  </si>
  <si>
    <t>Waltham Point, Waltham Abbey</t>
  </si>
  <si>
    <t>Northampton</t>
  </si>
  <si>
    <t>Hams Hall</t>
  </si>
  <si>
    <t>Haydock</t>
  </si>
  <si>
    <t>Sherburn and;</t>
  </si>
  <si>
    <t>Langland’s Park</t>
  </si>
  <si>
    <t>IFCO</t>
  </si>
  <si>
    <t>new rate 01 May - 2023</t>
  </si>
  <si>
    <t xml:space="preserve">WAKEFIELD &amp; FRESHCUT </t>
  </si>
  <si>
    <t>WAKEFIELD</t>
  </si>
  <si>
    <t>NUNEATON</t>
  </si>
  <si>
    <t xml:space="preserve">Wellingborough </t>
  </si>
  <si>
    <t>Warrington</t>
  </si>
  <si>
    <t>Milton Keynes</t>
  </si>
  <si>
    <t>19MORCRAT*</t>
  </si>
  <si>
    <t>ALDI</t>
  </si>
  <si>
    <t>Bedford</t>
  </si>
  <si>
    <t>TESCO</t>
  </si>
  <si>
    <t>19TESCRATE*</t>
  </si>
  <si>
    <t>19JSCRATE*</t>
  </si>
  <si>
    <t>19ALDCRATE*</t>
  </si>
  <si>
    <t>confirmed at the time</t>
  </si>
  <si>
    <t>Doncaster £408.15</t>
  </si>
  <si>
    <t>Avonmouth £424.48</t>
  </si>
  <si>
    <t>IPL Hull £587.74</t>
  </si>
  <si>
    <t>Snodland  £310.20</t>
  </si>
  <si>
    <t>IPL Tamworth £288.42</t>
  </si>
  <si>
    <t>Peterborough  £457.13</t>
  </si>
  <si>
    <t>Hinckley  £408.15</t>
  </si>
  <si>
    <t>Southampton  £185.02</t>
  </si>
  <si>
    <t>Dagenham  £310.20</t>
  </si>
  <si>
    <t>Didcot  £299.31</t>
  </si>
  <si>
    <t>Widnes £587.74</t>
  </si>
  <si>
    <t>Dartford £141.49</t>
  </si>
  <si>
    <t>Deposit</t>
  </si>
  <si>
    <t>Eur14</t>
  </si>
  <si>
    <t>Tamworth</t>
  </si>
  <si>
    <t>Doncaster</t>
  </si>
  <si>
    <t>Selsey</t>
  </si>
  <si>
    <t>Glasshoughton</t>
  </si>
  <si>
    <t>Drayton</t>
  </si>
  <si>
    <t>Merston</t>
  </si>
  <si>
    <t>Runcton</t>
  </si>
  <si>
    <t>ROB05</t>
  </si>
  <si>
    <t>SLH01</t>
  </si>
  <si>
    <t>Wk No</t>
  </si>
  <si>
    <t>BRO06</t>
  </si>
  <si>
    <t>COC01</t>
  </si>
  <si>
    <t>COL06</t>
  </si>
  <si>
    <t>COO10</t>
  </si>
  <si>
    <t>ERS01</t>
  </si>
  <si>
    <t>EUR06</t>
  </si>
  <si>
    <t>ICE02</t>
  </si>
  <si>
    <t>JOH11</t>
  </si>
  <si>
    <t>MAS01</t>
  </si>
  <si>
    <t>MAT06</t>
  </si>
  <si>
    <t>PAU03</t>
  </si>
  <si>
    <t>PIC01</t>
  </si>
  <si>
    <t>PIC03</t>
  </si>
  <si>
    <t>TON01</t>
  </si>
  <si>
    <t>Inbound</t>
  </si>
  <si>
    <t>Supplier code</t>
  </si>
  <si>
    <t>Supplier</t>
  </si>
  <si>
    <t>Haulier</t>
  </si>
  <si>
    <t>Reference</t>
  </si>
  <si>
    <t>Cost</t>
  </si>
  <si>
    <t>A G Pearce</t>
  </si>
  <si>
    <t>Fuel Price</t>
  </si>
  <si>
    <t>Blackdown</t>
  </si>
  <si>
    <t>Base Price</t>
  </si>
  <si>
    <t>Emmetts</t>
  </si>
  <si>
    <t>EMM02</t>
  </si>
  <si>
    <t>Operating %</t>
  </si>
  <si>
    <t>EPC Newbury</t>
  </si>
  <si>
    <t>ALE05</t>
  </si>
  <si>
    <t>Fuel Surcharge</t>
  </si>
  <si>
    <t>EPC Newport</t>
  </si>
  <si>
    <t>ALE07</t>
  </si>
  <si>
    <t xml:space="preserve">Gomez </t>
  </si>
  <si>
    <t>Crate Returns</t>
  </si>
  <si>
    <t>Greenvale</t>
  </si>
  <si>
    <t>G's Barway</t>
  </si>
  <si>
    <t>GSM01</t>
  </si>
  <si>
    <t>Total Spend</t>
  </si>
  <si>
    <t>G's East Coast</t>
  </si>
  <si>
    <t>GSM03</t>
  </si>
  <si>
    <t>G's TLC Single</t>
  </si>
  <si>
    <t>G's Wissy</t>
  </si>
  <si>
    <t>Hammond Produce</t>
  </si>
  <si>
    <t>Hobson Farming</t>
  </si>
  <si>
    <t>HOB01</t>
  </si>
  <si>
    <t>Intercrop</t>
  </si>
  <si>
    <t>INT02</t>
  </si>
  <si>
    <t>Intercrop RT</t>
  </si>
  <si>
    <t>J E Wakely</t>
  </si>
  <si>
    <t>JEW01</t>
  </si>
  <si>
    <t>Jepco</t>
  </si>
  <si>
    <t>Jepco Pallet Rate</t>
  </si>
  <si>
    <t>Jepco RT</t>
  </si>
  <si>
    <t>Jepco(Anglia Salads)</t>
  </si>
  <si>
    <t>Kemp Herbs</t>
  </si>
  <si>
    <t>Kettle Produce</t>
  </si>
  <si>
    <t>L J Betts</t>
  </si>
  <si>
    <t>LAU01</t>
  </si>
  <si>
    <t>L J Betts RT</t>
  </si>
  <si>
    <t>Leggates</t>
  </si>
  <si>
    <t>Mediterranean Foods</t>
  </si>
  <si>
    <t>Naylors</t>
  </si>
  <si>
    <t>NAY01</t>
  </si>
  <si>
    <t>New Shoots</t>
  </si>
  <si>
    <t>NEW09</t>
  </si>
  <si>
    <t>New Shoots RT</t>
  </si>
  <si>
    <t>Produce World</t>
  </si>
  <si>
    <t>Raker Farms</t>
  </si>
  <si>
    <t>RAK01</t>
  </si>
  <si>
    <t>Raker Farms Crates</t>
  </si>
  <si>
    <t>RBR01</t>
  </si>
  <si>
    <t>R Bratley RT</t>
  </si>
  <si>
    <t>Stourgardens</t>
  </si>
  <si>
    <t>Thanet Earth</t>
  </si>
  <si>
    <t>Valefresco</t>
  </si>
  <si>
    <t>VAL06</t>
  </si>
  <si>
    <t>Valefresco RT</t>
  </si>
  <si>
    <t>Zenith</t>
  </si>
  <si>
    <t xml:space="preserve">GSM01 </t>
  </si>
  <si>
    <t>Hobson Farming Crates</t>
  </si>
  <si>
    <t>NaylorsTON01</t>
  </si>
  <si>
    <t>New Shoots Crates Only</t>
  </si>
  <si>
    <t>Raker FarmsSLH01</t>
  </si>
  <si>
    <t>Castelli</t>
  </si>
  <si>
    <t>EPC Chester</t>
  </si>
  <si>
    <t>EPC Newbury Direct to Troy Foods</t>
  </si>
  <si>
    <t>Glinwell Marketing</t>
  </si>
  <si>
    <t>G's TLC</t>
  </si>
  <si>
    <t xml:space="preserve">J E Wakely Crates Return </t>
  </si>
  <si>
    <t>JDM</t>
  </si>
  <si>
    <t>Jepco Gedney</t>
  </si>
  <si>
    <t>Len Wrights</t>
  </si>
  <si>
    <t>Len Wrights Crates</t>
  </si>
  <si>
    <t>Raker Farms Crates Return</t>
  </si>
  <si>
    <t>Swancote</t>
  </si>
  <si>
    <t>SAI01</t>
  </si>
  <si>
    <t>IFC02</t>
  </si>
  <si>
    <t>EUR14</t>
  </si>
  <si>
    <t>Transport cost - including Fuel surcharge</t>
  </si>
  <si>
    <t>Emerald Park</t>
  </si>
  <si>
    <t>Depot</t>
  </si>
  <si>
    <t>Bracknell</t>
  </si>
  <si>
    <t>Didcot</t>
  </si>
  <si>
    <t>Dagenham</t>
  </si>
  <si>
    <t>Avonmouth</t>
  </si>
  <si>
    <t>TES02</t>
  </si>
  <si>
    <t>Bardon Hill</t>
  </si>
  <si>
    <t>IFCO Glasshoughton</t>
  </si>
  <si>
    <t>Waltham Point RRU</t>
  </si>
  <si>
    <t>Coventry</t>
  </si>
  <si>
    <t>IFCO Warrington</t>
  </si>
  <si>
    <t>IFCO Wellingborough</t>
  </si>
  <si>
    <t>IFCO Bracknell</t>
  </si>
  <si>
    <t>35ALD HALF Type 504</t>
  </si>
  <si>
    <t>IFCO Glasshoughton &amp; Freshcut</t>
  </si>
  <si>
    <t>Widnes</t>
  </si>
  <si>
    <t>Southampton</t>
  </si>
  <si>
    <t>Snodland</t>
  </si>
  <si>
    <t>35JSSTD</t>
  </si>
  <si>
    <t>IFCO Coventry</t>
  </si>
  <si>
    <t>IFCO Milton Keynes</t>
  </si>
  <si>
    <t>IFCO Warrington &amp; Freshcut</t>
  </si>
  <si>
    <t>35ALDEPS Type 186</t>
  </si>
  <si>
    <t>35ALDEPSDEEP Type 216</t>
  </si>
  <si>
    <t>Aylesford</t>
  </si>
  <si>
    <t>Merston / Runcton</t>
  </si>
  <si>
    <t>Merston 13 plt / Runcton 20 plt</t>
  </si>
  <si>
    <t>Selsey / Runcton</t>
  </si>
  <si>
    <t>Selsey 17 plt / Runcton 16 plt</t>
  </si>
  <si>
    <t>JS</t>
  </si>
  <si>
    <t xml:space="preserve">PO00508348 </t>
  </si>
  <si>
    <t xml:space="preserve">PO00508349 </t>
  </si>
  <si>
    <t xml:space="preserve">PO00508350 </t>
  </si>
  <si>
    <t xml:space="preserve">PO00508351 </t>
  </si>
  <si>
    <t xml:space="preserve">PO00508352 </t>
  </si>
  <si>
    <t xml:space="preserve">PO00508353 </t>
  </si>
  <si>
    <t xml:space="preserve">PO00508354 </t>
  </si>
  <si>
    <t xml:space="preserve">PO00508355 </t>
  </si>
  <si>
    <t xml:space="preserve">PO00508357 </t>
  </si>
  <si>
    <t xml:space="preserve">PO00508358 </t>
  </si>
  <si>
    <t xml:space="preserve">PO00508360 </t>
  </si>
  <si>
    <t xml:space="preserve">PO00508361 </t>
  </si>
  <si>
    <t xml:space="preserve">PO00508362 </t>
  </si>
  <si>
    <t xml:space="preserve">PO00508363 </t>
  </si>
  <si>
    <t xml:space="preserve">PO00508364 </t>
  </si>
  <si>
    <t xml:space="preserve">PO00508365 </t>
  </si>
  <si>
    <t xml:space="preserve">PO00508366 </t>
  </si>
  <si>
    <t xml:space="preserve">PO00508367 </t>
  </si>
  <si>
    <t>NAT5464/377238</t>
  </si>
  <si>
    <t>NAT5464/377239</t>
  </si>
  <si>
    <t>NAT5464/377240</t>
  </si>
  <si>
    <t>NAT5464/377241</t>
  </si>
  <si>
    <t>NAT5464/377242</t>
  </si>
  <si>
    <t>*Freshcut delivery for 19/10 am*</t>
  </si>
  <si>
    <t>*Freshcut delivery for 21/10 am*</t>
  </si>
  <si>
    <t>*Freshcut delivery for 23/10 am*</t>
  </si>
  <si>
    <t>*Freshcut delivery for 25/10 am*</t>
  </si>
  <si>
    <t>PO00508701</t>
  </si>
  <si>
    <t>PO00508702</t>
  </si>
  <si>
    <t>PO00508703</t>
  </si>
  <si>
    <t>PO00508704</t>
  </si>
  <si>
    <t>PO00508705</t>
  </si>
  <si>
    <t>PO00508709</t>
  </si>
  <si>
    <t>PO00508710</t>
  </si>
  <si>
    <t>PO00508711</t>
  </si>
  <si>
    <t>PO00508712</t>
  </si>
  <si>
    <t>PO00508713</t>
  </si>
  <si>
    <t>PO00508714</t>
  </si>
  <si>
    <t>PO00508715</t>
  </si>
  <si>
    <t>304218863 </t>
  </si>
  <si>
    <t>304218866 </t>
  </si>
  <si>
    <t>304218868 </t>
  </si>
  <si>
    <t>304218870 </t>
  </si>
  <si>
    <t>304218878 </t>
  </si>
  <si>
    <t>304218882 </t>
  </si>
  <si>
    <t>304218886 </t>
  </si>
  <si>
    <t>304218888 </t>
  </si>
  <si>
    <t>304218890 </t>
  </si>
  <si>
    <t>304218892 </t>
  </si>
  <si>
    <t>304218895 </t>
  </si>
  <si>
    <t>304218899 </t>
  </si>
  <si>
    <t>Runcton 20 plt / Selsey 13 plt</t>
  </si>
  <si>
    <t xml:space="preserve">PO00508777 </t>
  </si>
  <si>
    <t xml:space="preserve">PO00508788 </t>
  </si>
  <si>
    <t xml:space="preserve">PO00508789 </t>
  </si>
  <si>
    <t xml:space="preserve">PO00508790 </t>
  </si>
  <si>
    <t xml:space="preserve">PO00508791 </t>
  </si>
  <si>
    <t xml:space="preserve">PO00508792 </t>
  </si>
  <si>
    <t xml:space="preserve">PO00508793 </t>
  </si>
  <si>
    <t xml:space="preserve">PO00508794 </t>
  </si>
  <si>
    <t xml:space="preserve">PO00508879 </t>
  </si>
  <si>
    <t xml:space="preserve">PO00508881 </t>
  </si>
  <si>
    <t xml:space="preserve">PO00508882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</si>
</sst>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44" formatCode="_-&quot;£&quot;* #,##0.00_-;\-&quot;£&quot;* #,##0.00_-;_-&quot;£&quot;* &quot;-&quot;??_-;_-@_-"/>
    <numFmt numFmtId="164" formatCode="&quot;£&quot;#,##0.00"/>
    <numFmt numFmtId="165" formatCode="_(&quot;£&quot;* #,##0.00_);_(&quot;£&quot;* \(#,##0.00\);_(&quot;£&quot;* &quot;-&quot;??_);_(@_)"/>
    <numFmt numFmtId="166" formatCode="_-[$£-809]* #,##0.00_-;\-[$£-809]* #,##0.00_-;_-[$£-809]* &quot;-&quot;??_-;_-@_-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6"/>
      <name val="Arial"/>
      <family val="2"/>
    </font>
    <font>
      <sz val="11"/>
      <color rgb="FF000000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9" fontId="12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5" fillId="4" borderId="2" xfId="1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1" xfId="0" applyFill="1" applyBorder="1"/>
    <xf numFmtId="0" fontId="5" fillId="4" borderId="3" xfId="1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6" borderId="1" xfId="0" applyFill="1" applyBorder="1"/>
    <xf numFmtId="0" fontId="0" fillId="6" borderId="0" xfId="0" applyFill="1"/>
    <xf numFmtId="0" fontId="0" fillId="0" borderId="7" xfId="0" applyBorder="1"/>
    <xf numFmtId="0" fontId="1" fillId="0" borderId="7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5" fillId="5" borderId="9" xfId="0" applyNumberFormat="1" applyFont="1" applyFill="1" applyBorder="1" applyAlignment="1">
      <alignment horizontal="center" vertical="center" wrapText="1"/>
    </xf>
    <xf numFmtId="1" fontId="5" fillId="3" borderId="9" xfId="0" applyNumberFormat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6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6" fillId="6" borderId="10" xfId="1" applyFont="1" applyFill="1" applyBorder="1" applyAlignment="1">
      <alignment horizontal="center" vertical="center"/>
    </xf>
    <xf numFmtId="0" fontId="0" fillId="0" borderId="8" xfId="0" applyBorder="1"/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0" xfId="0" applyFill="1"/>
    <xf numFmtId="0" fontId="0" fillId="7" borderId="0" xfId="0" applyFill="1"/>
    <xf numFmtId="0" fontId="0" fillId="8" borderId="0" xfId="0" applyFill="1"/>
    <xf numFmtId="14" fontId="0" fillId="3" borderId="0" xfId="0" applyNumberFormat="1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1" xfId="0" applyFont="1" applyBorder="1"/>
    <xf numFmtId="8" fontId="0" fillId="0" borderId="1" xfId="0" applyNumberFormat="1" applyBorder="1"/>
    <xf numFmtId="0" fontId="8" fillId="2" borderId="11" xfId="0" applyFont="1" applyFill="1" applyBorder="1"/>
    <xf numFmtId="0" fontId="7" fillId="0" borderId="12" xfId="0" applyFont="1" applyBorder="1"/>
    <xf numFmtId="0" fontId="0" fillId="9" borderId="12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0" xfId="0" applyFont="1"/>
    <xf numFmtId="0" fontId="9" fillId="11" borderId="19" xfId="0" applyFont="1" applyFill="1" applyBorder="1"/>
    <xf numFmtId="0" fontId="2" fillId="0" borderId="19" xfId="0" applyFont="1" applyBorder="1"/>
    <xf numFmtId="0" fontId="2" fillId="0" borderId="0" xfId="0" applyFont="1" applyAlignment="1">
      <alignment horizontal="center" vertical="center"/>
    </xf>
    <xf numFmtId="0" fontId="2" fillId="0" borderId="20" xfId="0" applyFont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4" xfId="0" applyFont="1" applyBorder="1"/>
    <xf numFmtId="0" fontId="4" fillId="0" borderId="0" xfId="0" applyFont="1"/>
    <xf numFmtId="0" fontId="4" fillId="0" borderId="16" xfId="0" applyFont="1" applyBorder="1"/>
    <xf numFmtId="0" fontId="4" fillId="0" borderId="17" xfId="0" applyFont="1" applyBorder="1"/>
    <xf numFmtId="0" fontId="0" fillId="0" borderId="11" xfId="0" applyBorder="1"/>
    <xf numFmtId="8" fontId="0" fillId="0" borderId="17" xfId="0" applyNumberFormat="1" applyBorder="1"/>
    <xf numFmtId="0" fontId="7" fillId="0" borderId="1" xfId="0" applyFont="1" applyBorder="1" applyAlignment="1">
      <alignment horizontal="center"/>
    </xf>
    <xf numFmtId="0" fontId="11" fillId="0" borderId="1" xfId="0" applyFont="1" applyBorder="1"/>
    <xf numFmtId="0" fontId="8" fillId="2" borderId="14" xfId="0" applyFont="1" applyFill="1" applyBorder="1"/>
    <xf numFmtId="164" fontId="0" fillId="0" borderId="0" xfId="0" applyNumberFormat="1"/>
    <xf numFmtId="8" fontId="0" fillId="0" borderId="0" xfId="0" applyNumberFormat="1"/>
    <xf numFmtId="0" fontId="0" fillId="0" borderId="21" xfId="0" applyBorder="1"/>
    <xf numFmtId="8" fontId="0" fillId="0" borderId="21" xfId="0" applyNumberFormat="1" applyBorder="1"/>
    <xf numFmtId="0" fontId="0" fillId="0" borderId="2" xfId="0" applyBorder="1"/>
    <xf numFmtId="8" fontId="0" fillId="0" borderId="2" xfId="0" applyNumberFormat="1" applyBorder="1"/>
    <xf numFmtId="164" fontId="0" fillId="0" borderId="1" xfId="0" applyNumberFormat="1" applyBorder="1"/>
    <xf numFmtId="9" fontId="0" fillId="0" borderId="1" xfId="0" applyNumberFormat="1" applyBorder="1"/>
    <xf numFmtId="0" fontId="7" fillId="0" borderId="9" xfId="0" applyFont="1" applyBorder="1"/>
    <xf numFmtId="0" fontId="7" fillId="0" borderId="23" xfId="0" applyFont="1" applyBorder="1"/>
    <xf numFmtId="0" fontId="0" fillId="0" borderId="5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24" xfId="0" applyBorder="1"/>
    <xf numFmtId="16" fontId="0" fillId="0" borderId="25" xfId="0" applyNumberFormat="1" applyBorder="1"/>
    <xf numFmtId="0" fontId="7" fillId="13" borderId="27" xfId="0" applyFont="1" applyFill="1" applyBorder="1"/>
    <xf numFmtId="44" fontId="0" fillId="13" borderId="28" xfId="0" applyNumberFormat="1" applyFill="1" applyBorder="1"/>
    <xf numFmtId="0" fontId="0" fillId="14" borderId="28" xfId="0" applyFill="1" applyBorder="1"/>
    <xf numFmtId="9" fontId="0" fillId="14" borderId="28" xfId="2" applyFont="1" applyFill="1" applyBorder="1"/>
    <xf numFmtId="0" fontId="7" fillId="13" borderId="30" xfId="0" applyFont="1" applyFill="1" applyBorder="1"/>
    <xf numFmtId="9" fontId="0" fillId="13" borderId="31" xfId="2" applyFont="1" applyFill="1" applyBorder="1"/>
    <xf numFmtId="9" fontId="0" fillId="13" borderId="20" xfId="2" applyFont="1" applyFill="1" applyBorder="1"/>
    <xf numFmtId="9" fontId="0" fillId="13" borderId="32" xfId="2" applyFont="1" applyFill="1" applyBorder="1"/>
    <xf numFmtId="0" fontId="7" fillId="13" borderId="6" xfId="0" applyFont="1" applyFill="1" applyBorder="1"/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7" fillId="13" borderId="24" xfId="0" applyFont="1" applyFill="1" applyBorder="1"/>
    <xf numFmtId="165" fontId="0" fillId="0" borderId="36" xfId="0" applyNumberFormat="1" applyBorder="1"/>
    <xf numFmtId="165" fontId="0" fillId="0" borderId="25" xfId="0" applyNumberFormat="1" applyBorder="1"/>
    <xf numFmtId="165" fontId="0" fillId="0" borderId="37" xfId="0" applyNumberFormat="1" applyBorder="1"/>
    <xf numFmtId="0" fontId="7" fillId="13" borderId="38" xfId="0" applyFont="1" applyFill="1" applyBorder="1"/>
    <xf numFmtId="165" fontId="0" fillId="0" borderId="39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165" fontId="7" fillId="0" borderId="42" xfId="0" applyNumberFormat="1" applyFont="1" applyBorder="1"/>
    <xf numFmtId="165" fontId="7" fillId="0" borderId="1" xfId="0" applyNumberFormat="1" applyFont="1" applyBorder="1"/>
    <xf numFmtId="165" fontId="7" fillId="0" borderId="29" xfId="0" applyNumberFormat="1" applyFont="1" applyBorder="1"/>
    <xf numFmtId="165" fontId="0" fillId="0" borderId="43" xfId="0" applyNumberFormat="1" applyBorder="1"/>
    <xf numFmtId="165" fontId="0" fillId="0" borderId="31" xfId="0" applyNumberFormat="1" applyBorder="1"/>
    <xf numFmtId="165" fontId="0" fillId="0" borderId="44" xfId="0" applyNumberFormat="1" applyBorder="1"/>
    <xf numFmtId="165" fontId="0" fillId="0" borderId="20" xfId="0" applyNumberFormat="1" applyBorder="1"/>
    <xf numFmtId="165" fontId="0" fillId="0" borderId="45" xfId="0" applyNumberFormat="1" applyBorder="1"/>
    <xf numFmtId="165" fontId="0" fillId="0" borderId="46" xfId="0" applyNumberFormat="1" applyBorder="1"/>
    <xf numFmtId="0" fontId="7" fillId="0" borderId="47" xfId="0" applyFont="1" applyBorder="1"/>
    <xf numFmtId="165" fontId="0" fillId="0" borderId="19" xfId="0" applyNumberFormat="1" applyBorder="1"/>
    <xf numFmtId="0" fontId="0" fillId="2" borderId="2" xfId="0" applyFill="1" applyBorder="1"/>
    <xf numFmtId="0" fontId="0" fillId="0" borderId="36" xfId="0" applyBorder="1"/>
    <xf numFmtId="0" fontId="0" fillId="0" borderId="19" xfId="0" applyBorder="1"/>
    <xf numFmtId="0" fontId="0" fillId="0" borderId="26" xfId="0" applyBorder="1"/>
    <xf numFmtId="0" fontId="0" fillId="0" borderId="42" xfId="0" applyBorder="1"/>
    <xf numFmtId="0" fontId="0" fillId="0" borderId="29" xfId="0" applyBorder="1"/>
    <xf numFmtId="0" fontId="0" fillId="0" borderId="42" xfId="0" applyBorder="1" applyAlignment="1">
      <alignment horizontal="left" vertical="center"/>
    </xf>
    <xf numFmtId="0" fontId="0" fillId="0" borderId="39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3" xfId="0" applyBorder="1" applyAlignment="1">
      <alignment horizontal="left" vertical="center"/>
    </xf>
    <xf numFmtId="0" fontId="0" fillId="0" borderId="20" xfId="0" applyBorder="1"/>
    <xf numFmtId="0" fontId="0" fillId="0" borderId="32" xfId="0" applyBorder="1"/>
    <xf numFmtId="14" fontId="0" fillId="0" borderId="0" xfId="0" applyNumberFormat="1"/>
    <xf numFmtId="1" fontId="0" fillId="0" borderId="0" xfId="0" applyNumberFormat="1"/>
    <xf numFmtId="0" fontId="13" fillId="0" borderId="1" xfId="0" applyFont="1" applyBorder="1"/>
    <xf numFmtId="0" fontId="0" fillId="0" borderId="1" xfId="0" applyBorder="1" applyAlignment="1">
      <alignment horizontal="left" vertical="center"/>
    </xf>
    <xf numFmtId="0" fontId="4" fillId="0" borderId="1" xfId="0" applyFont="1" applyBorder="1"/>
    <xf numFmtId="0" fontId="0" fillId="0" borderId="34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0" fillId="0" borderId="51" xfId="0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0" fillId="0" borderId="34" xfId="0" applyBorder="1"/>
    <xf numFmtId="166" fontId="0" fillId="0" borderId="0" xfId="0" applyNumberFormat="1" applyAlignment="1">
      <alignment horizontal="center" vertical="center"/>
    </xf>
    <xf numFmtId="166" fontId="7" fillId="13" borderId="22" xfId="0" applyNumberFormat="1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166" fontId="0" fillId="12" borderId="29" xfId="0" applyNumberFormat="1" applyFill="1" applyBorder="1" applyAlignment="1">
      <alignment horizontal="center" vertical="center"/>
    </xf>
    <xf numFmtId="166" fontId="0" fillId="15" borderId="29" xfId="0" applyNumberFormat="1" applyFill="1" applyBorder="1" applyAlignment="1">
      <alignment horizontal="center" vertical="center"/>
    </xf>
    <xf numFmtId="166" fontId="0" fillId="0" borderId="48" xfId="0" applyNumberFormat="1" applyBorder="1" applyAlignment="1">
      <alignment horizontal="center" vertical="center"/>
    </xf>
    <xf numFmtId="166" fontId="0" fillId="15" borderId="50" xfId="0" applyNumberFormat="1" applyFill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0" fontId="0" fillId="3" borderId="1" xfId="0" applyFill="1" applyBorder="1"/>
    <xf numFmtId="164" fontId="0" fillId="16" borderId="1" xfId="0" applyNumberFormat="1" applyFill="1" applyBorder="1"/>
    <xf numFmtId="14" fontId="0" fillId="0" borderId="1" xfId="0" applyNumberFormat="1" applyBorder="1"/>
    <xf numFmtId="14" fontId="11" fillId="0" borderId="1" xfId="0" applyNumberFormat="1" applyFont="1" applyBorder="1"/>
    <xf numFmtId="14" fontId="1" fillId="17" borderId="6" xfId="0" applyNumberFormat="1" applyFont="1" applyFill="1" applyBorder="1" applyAlignment="1">
      <alignment horizontal="center" vertical="center" wrapText="1"/>
    </xf>
    <xf numFmtId="14" fontId="0" fillId="17" borderId="1" xfId="0" applyNumberFormat="1" applyFill="1" applyBorder="1" applyAlignment="1">
      <alignment horizontal="center"/>
    </xf>
    <xf numFmtId="14" fontId="0" fillId="17" borderId="0" xfId="0" applyNumberFormat="1" applyFill="1" applyAlignment="1">
      <alignment horizontal="center"/>
    </xf>
    <xf numFmtId="0" fontId="3" fillId="18" borderId="9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15" borderId="1" xfId="0" applyFill="1" applyBorder="1"/>
    <xf numFmtId="0" fontId="11" fillId="15" borderId="1" xfId="0" applyFont="1" applyFill="1" applyBorder="1"/>
    <xf numFmtId="0" fontId="0" fillId="15" borderId="2" xfId="0" applyFill="1" applyBorder="1"/>
    <xf numFmtId="166" fontId="16" fillId="0" borderId="1" xfId="0" applyNumberFormat="1" applyFont="1" applyBorder="1" applyAlignment="1">
      <alignment horizontal="center" vertical="center"/>
    </xf>
    <xf numFmtId="0" fontId="0" fillId="15" borderId="5" xfId="0" applyFill="1" applyBorder="1"/>
    <xf numFmtId="0" fontId="7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1" xfId="0" applyFont="1" applyFill="1" applyBorder="1"/>
    <xf numFmtId="0" fontId="0" fillId="7" borderId="1" xfId="0" applyFill="1" applyBorder="1"/>
  </cellXfs>
  <cellStyles count="3">
    <cellStyle name="Normal" xfId="0" builtinId="0"/>
    <cellStyle name="Normal 2" xfId="1" xr:uid="{F41FCD39-F3CC-4FDF-9BBE-FC278FA6EE64}"/>
    <cellStyle name="Per 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ogistics/Transport%20Inbound%20UK/2026/SLP%20Transport%20Inbound%20UK%20Files/Trackers/All%20Transport%20Tracker%202026%20SLP%20-MASTER.xlsm" TargetMode="External"/><Relationship Id="rId2" Type="http://schemas.openxmlformats.org/officeDocument/2006/relationships/externalLinkPath" Target="file:///\\nwfselfile01\Shared%20Data\Supply%20Chain\Material%20Planning\Logistics\Transport%20Inbound%20UK\2026\SLP%20Transport%20Inbound%20UK%20Files\Trackers\All%20Transport%20Tracker%202026%20SLP%20-MASTER.xlsm" TargetMode="External"/><Relationship Id="rId1" Type="http://schemas.openxmlformats.org/officeDocument/2006/relationships/externalLinkPath" Target="/Supply%20Chain/Material%20Planning/Logistics/Transport%20Inbound%20UK/2026/SLP%20Transport%20Inbound%20UK%20Files/Trackers/All%20Transport%20Tracker%202026%20SLP%20-MASTER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ogistics/Transport%20Inbound%20UK/2026/SLP%20Transport%20Inbound%20UK%20Files/Trackers/All%20Transport%20Tracker%202026%20%20SLP%20-NEW%20MASTER.xlsm" TargetMode="External"/><Relationship Id="rId2" Type="http://schemas.openxmlformats.org/officeDocument/2006/relationships/externalLinkPath" Target="file:///\\nwfselfile01\Shared%20Data\Supply%20Chain\Material%20Planning\Logistics\Transport%20Inbound%20UK\2026\SLP%20Transport%20Inbound%20UK%20Files\Trackers\All%20Transport%20Tracker%202026%20%20SLP%20-NEW%20MASTER.xlsm" TargetMode="External"/><Relationship Id="rId1" Type="http://schemas.openxmlformats.org/officeDocument/2006/relationships/externalLinkPath" Target="/Supply%20Chain/Material%20Planning/Logistics/Transport%20Inbound%20UK/2026/SLP%20Transport%20Inbound%20UK%20Files/Trackers/All%20Transport%20Tracker%202026%20%20SLP%20-NEW%20MAS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LH01"/>
      <sheetName val="VAL06"/>
      <sheetName val="MRCT"/>
      <sheetName val="Dale Bro's"/>
      <sheetName val="Gregorys"/>
      <sheetName val="Load ref generator"/>
      <sheetName val="ADAMS PIVOT"/>
      <sheetName val="Dynamics Enum Cache"/>
      <sheetName val="Ex Works Tracker UK"/>
      <sheetName val="Adhoc Transport Tracker"/>
      <sheetName val="Wild Water Storage"/>
      <sheetName val="Confirmed order"/>
      <sheetName val="TLC Shunt vehcile numbers"/>
      <sheetName val="KPI DATA"/>
      <sheetName val="Fuel Surcharge"/>
      <sheetName val="Supplier code lookup"/>
      <sheetName val="Sheet2"/>
      <sheetName val="data"/>
      <sheetName val="Crate Collection Template"/>
      <sheetName val="Sheet1"/>
      <sheetName val="Ex Works Track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4">
          <cell r="I34">
            <v>46109</v>
          </cell>
          <cell r="J34">
            <v>46116</v>
          </cell>
          <cell r="K34">
            <v>46123</v>
          </cell>
          <cell r="L34">
            <v>46130</v>
          </cell>
          <cell r="M34">
            <v>46137</v>
          </cell>
          <cell r="N34">
            <v>46144</v>
          </cell>
          <cell r="O34">
            <v>46151</v>
          </cell>
          <cell r="P34">
            <v>46158</v>
          </cell>
          <cell r="Q34">
            <v>46165</v>
          </cell>
          <cell r="R34">
            <v>46172</v>
          </cell>
          <cell r="S34">
            <v>46179</v>
          </cell>
          <cell r="T34">
            <v>46186</v>
          </cell>
          <cell r="U34">
            <v>46193</v>
          </cell>
          <cell r="V34">
            <v>46200</v>
          </cell>
        </row>
        <row r="35">
          <cell r="I35">
            <v>146.82</v>
          </cell>
          <cell r="J35">
            <v>150.79</v>
          </cell>
          <cell r="K35">
            <v>152.4</v>
          </cell>
          <cell r="L35">
            <v>153.43</v>
          </cell>
          <cell r="M35">
            <v>143.32</v>
          </cell>
          <cell r="N35">
            <v>137.58000000000001</v>
          </cell>
          <cell r="O35">
            <v>145.91999999999999</v>
          </cell>
          <cell r="P35">
            <v>141.54</v>
          </cell>
          <cell r="Q35">
            <v>139.24</v>
          </cell>
          <cell r="R35">
            <v>141.53</v>
          </cell>
          <cell r="S35">
            <v>134.36000000000001</v>
          </cell>
          <cell r="T35">
            <v>134.76</v>
          </cell>
          <cell r="U35">
            <v>133.07</v>
          </cell>
          <cell r="V35">
            <v>125.81</v>
          </cell>
        </row>
        <row r="36">
          <cell r="I36">
            <v>100</v>
          </cell>
          <cell r="J36">
            <v>100</v>
          </cell>
          <cell r="K36">
            <v>100</v>
          </cell>
          <cell r="L36">
            <v>100</v>
          </cell>
          <cell r="M36">
            <v>100</v>
          </cell>
          <cell r="N36">
            <v>100</v>
          </cell>
          <cell r="O36">
            <v>100</v>
          </cell>
          <cell r="P36">
            <v>100</v>
          </cell>
          <cell r="Q36">
            <v>100</v>
          </cell>
          <cell r="R36">
            <v>100</v>
          </cell>
          <cell r="S36">
            <v>100</v>
          </cell>
          <cell r="T36">
            <v>100</v>
          </cell>
          <cell r="U36">
            <v>100</v>
          </cell>
          <cell r="V36">
            <v>100</v>
          </cell>
        </row>
        <row r="37">
          <cell r="I37">
            <v>0.29360000000000003</v>
          </cell>
          <cell r="J37">
            <v>0.29360000000000003</v>
          </cell>
          <cell r="K37">
            <v>0.29360000000000003</v>
          </cell>
          <cell r="L37">
            <v>0.29360000000000003</v>
          </cell>
          <cell r="M37">
            <v>0.29360000000000003</v>
          </cell>
          <cell r="N37">
            <v>0.29360000000000003</v>
          </cell>
          <cell r="O37">
            <v>0.29360000000000003</v>
          </cell>
          <cell r="P37">
            <v>0.29360000000000003</v>
          </cell>
          <cell r="Q37">
            <v>0.29360000000000003</v>
          </cell>
          <cell r="R37">
            <v>0.29360000000000003</v>
          </cell>
          <cell r="S37">
            <v>0.29360000000000003</v>
          </cell>
          <cell r="T37">
            <v>0.29360000000000003</v>
          </cell>
          <cell r="U37">
            <v>0.29360000000000003</v>
          </cell>
          <cell r="V37">
            <v>0.29360000000000003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LH01"/>
      <sheetName val="VAL06"/>
      <sheetName val="MRCT"/>
      <sheetName val="Dale Bro's"/>
      <sheetName val="Gregorys"/>
      <sheetName val="Load ref generator"/>
      <sheetName val="ADAMS PIVOT"/>
      <sheetName val="Dynamics Enum Cache"/>
      <sheetName val="Ex Works Tracker UK"/>
      <sheetName val="Wild Water Storage"/>
      <sheetName val="Confirmed order"/>
      <sheetName val="TLC Shunt vehcile numbers"/>
      <sheetName val="Adhoc Transport Tracker"/>
      <sheetName val="KPI DATA"/>
      <sheetName val="Fuel Surcharge"/>
      <sheetName val="Supplier code lookup"/>
      <sheetName val="Sheet2"/>
      <sheetName val="data"/>
      <sheetName val="Crate Collection Template"/>
      <sheetName val="Sheet1"/>
      <sheetName val="Ex Works Tracker"/>
      <sheetName val="All Transport Tracker 2026  S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4">
          <cell r="J34">
            <v>46207</v>
          </cell>
          <cell r="K34">
            <v>46214</v>
          </cell>
          <cell r="L34">
            <v>46221</v>
          </cell>
          <cell r="M34">
            <v>46228</v>
          </cell>
          <cell r="N34">
            <v>46235</v>
          </cell>
          <cell r="O34">
            <v>46242</v>
          </cell>
          <cell r="P34">
            <v>46249</v>
          </cell>
          <cell r="Q34">
            <v>46256</v>
          </cell>
          <cell r="R34">
            <v>46263</v>
          </cell>
          <cell r="S34">
            <v>46270</v>
          </cell>
          <cell r="T34">
            <v>46277</v>
          </cell>
          <cell r="U34">
            <v>46284</v>
          </cell>
          <cell r="V34">
            <v>46291</v>
          </cell>
          <cell r="W34">
            <v>46298</v>
          </cell>
          <cell r="X34">
            <v>46305</v>
          </cell>
          <cell r="Y34">
            <v>46312</v>
          </cell>
          <cell r="Z34">
            <v>46319</v>
          </cell>
          <cell r="AA34">
            <v>46326</v>
          </cell>
          <cell r="AB34">
            <v>46333</v>
          </cell>
          <cell r="AC34">
            <v>46340</v>
          </cell>
          <cell r="AD34">
            <v>46347</v>
          </cell>
          <cell r="AE34">
            <v>46354</v>
          </cell>
          <cell r="AF34">
            <v>46361</v>
          </cell>
          <cell r="AG34">
            <v>46368</v>
          </cell>
          <cell r="AH34">
            <v>46375</v>
          </cell>
          <cell r="AI34">
            <v>46382</v>
          </cell>
          <cell r="AJ34">
            <v>46389</v>
          </cell>
          <cell r="AK34">
            <v>46396</v>
          </cell>
          <cell r="AL34">
            <v>46403</v>
          </cell>
          <cell r="AM34">
            <v>46410</v>
          </cell>
          <cell r="AN34">
            <v>46417</v>
          </cell>
          <cell r="AO34">
            <v>46424</v>
          </cell>
          <cell r="AP34">
            <v>46431</v>
          </cell>
          <cell r="AQ34">
            <v>46438</v>
          </cell>
          <cell r="AR34">
            <v>46445</v>
          </cell>
          <cell r="AS34">
            <v>46452</v>
          </cell>
          <cell r="AT34">
            <v>46459</v>
          </cell>
          <cell r="AU34">
            <v>46466</v>
          </cell>
          <cell r="AV34">
            <v>46473</v>
          </cell>
          <cell r="AW34">
            <v>46480</v>
          </cell>
          <cell r="AX34">
            <v>46487</v>
          </cell>
          <cell r="AY34">
            <v>46494</v>
          </cell>
          <cell r="AZ34">
            <v>46501</v>
          </cell>
        </row>
        <row r="35">
          <cell r="J35">
            <v>125</v>
          </cell>
          <cell r="K35">
            <v>126</v>
          </cell>
          <cell r="L35">
            <v>130.75</v>
          </cell>
          <cell r="M35">
            <v>129.94999999999999</v>
          </cell>
          <cell r="N35">
            <v>137.53</v>
          </cell>
          <cell r="O35">
            <v>145.1</v>
          </cell>
          <cell r="P35">
            <v>147.08000000000001</v>
          </cell>
          <cell r="Q35">
            <v>142.06</v>
          </cell>
          <cell r="R35">
            <v>145.16999999999999</v>
          </cell>
          <cell r="S35">
            <v>149.44</v>
          </cell>
          <cell r="T35">
            <v>146.16</v>
          </cell>
          <cell r="U35">
            <v>153.97</v>
          </cell>
          <cell r="V35">
            <v>157.38</v>
          </cell>
          <cell r="W35">
            <v>165.19</v>
          </cell>
          <cell r="X35">
            <v>162.1</v>
          </cell>
          <cell r="Y35">
            <v>155.9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</row>
        <row r="36">
          <cell r="W36">
            <v>100</v>
          </cell>
          <cell r="X36">
            <v>100</v>
          </cell>
          <cell r="Y36">
            <v>100</v>
          </cell>
          <cell r="Z36">
            <v>100</v>
          </cell>
          <cell r="AA36">
            <v>100</v>
          </cell>
          <cell r="AB36">
            <v>100</v>
          </cell>
          <cell r="AC36">
            <v>100</v>
          </cell>
          <cell r="AD36">
            <v>100</v>
          </cell>
          <cell r="AE36">
            <v>100</v>
          </cell>
          <cell r="AF36">
            <v>100</v>
          </cell>
          <cell r="AG36">
            <v>100</v>
          </cell>
          <cell r="AH36">
            <v>100</v>
          </cell>
          <cell r="AI36">
            <v>100</v>
          </cell>
          <cell r="AJ36">
            <v>100</v>
          </cell>
          <cell r="AK36">
            <v>100</v>
          </cell>
          <cell r="AL36">
            <v>100</v>
          </cell>
          <cell r="AM36">
            <v>100</v>
          </cell>
          <cell r="AN36">
            <v>100</v>
          </cell>
          <cell r="AO36">
            <v>100</v>
          </cell>
          <cell r="AP36">
            <v>100</v>
          </cell>
          <cell r="AQ36">
            <v>100</v>
          </cell>
          <cell r="AR36">
            <v>100</v>
          </cell>
          <cell r="AS36">
            <v>100</v>
          </cell>
          <cell r="AT36">
            <v>100</v>
          </cell>
          <cell r="AU36">
            <v>100</v>
          </cell>
          <cell r="AV36">
            <v>100</v>
          </cell>
          <cell r="AW36">
            <v>100</v>
          </cell>
          <cell r="AX36">
            <v>100</v>
          </cell>
          <cell r="AY36">
            <v>100</v>
          </cell>
          <cell r="AZ36">
            <v>100</v>
          </cell>
          <cell r="BA36">
            <v>100</v>
          </cell>
          <cell r="BB36">
            <v>100</v>
          </cell>
          <cell r="BC36">
            <v>100</v>
          </cell>
          <cell r="BD36">
            <v>100</v>
          </cell>
          <cell r="BE36">
            <v>100</v>
          </cell>
          <cell r="BF36">
            <v>100</v>
          </cell>
          <cell r="BG36">
            <v>100</v>
          </cell>
          <cell r="BH36">
            <v>100</v>
          </cell>
          <cell r="BI36">
            <v>100</v>
          </cell>
        </row>
        <row r="37">
          <cell r="W37">
            <v>0.29360000000000003</v>
          </cell>
          <cell r="X37">
            <v>0.29360000000000003</v>
          </cell>
          <cell r="Y37">
            <v>0.29360000000000003</v>
          </cell>
          <cell r="Z37">
            <v>0.29360000000000003</v>
          </cell>
          <cell r="AA37">
            <v>0.29360000000000003</v>
          </cell>
          <cell r="AB37">
            <v>0.29360000000000003</v>
          </cell>
          <cell r="AC37">
            <v>0.29360000000000003</v>
          </cell>
          <cell r="AD37">
            <v>0.29360000000000003</v>
          </cell>
          <cell r="AE37">
            <v>0.29360000000000003</v>
          </cell>
          <cell r="AF37">
            <v>0.29360000000000003</v>
          </cell>
          <cell r="AG37">
            <v>0.29360000000000003</v>
          </cell>
          <cell r="AH37">
            <v>0.29360000000000003</v>
          </cell>
          <cell r="AI37">
            <v>0.29360000000000003</v>
          </cell>
          <cell r="AJ37">
            <v>0.29360000000000003</v>
          </cell>
          <cell r="AK37">
            <v>0.29360000000000003</v>
          </cell>
          <cell r="AL37">
            <v>0.29360000000000003</v>
          </cell>
          <cell r="AM37">
            <v>0.29360000000000003</v>
          </cell>
          <cell r="AN37">
            <v>0.29360000000000003</v>
          </cell>
          <cell r="AO37">
            <v>0.29360000000000003</v>
          </cell>
          <cell r="AP37">
            <v>0.29360000000000003</v>
          </cell>
          <cell r="AQ37">
            <v>0.29360000000000003</v>
          </cell>
          <cell r="AR37">
            <v>0.29360000000000003</v>
          </cell>
          <cell r="AS37">
            <v>0.29360000000000003</v>
          </cell>
          <cell r="AT37">
            <v>0.29360000000000003</v>
          </cell>
          <cell r="AU37">
            <v>0.29360000000000003</v>
          </cell>
          <cell r="AV37">
            <v>0.29360000000000003</v>
          </cell>
          <cell r="AW37">
            <v>0.29360000000000003</v>
          </cell>
          <cell r="AX37">
            <v>0.29360000000000003</v>
          </cell>
          <cell r="AY37">
            <v>0.29360000000000003</v>
          </cell>
          <cell r="AZ37">
            <v>0.29360000000000003</v>
          </cell>
          <cell r="BA37">
            <v>0.29360000000000003</v>
          </cell>
          <cell r="BB37">
            <v>0.29360000000000003</v>
          </cell>
          <cell r="BC37">
            <v>0.29360000000000003</v>
          </cell>
          <cell r="BD37">
            <v>0.29360000000000003</v>
          </cell>
          <cell r="BE37">
            <v>0.29360000000000003</v>
          </cell>
          <cell r="BF37">
            <v>0.29360000000000003</v>
          </cell>
          <cell r="BG37">
            <v>0.29360000000000003</v>
          </cell>
          <cell r="BH37">
            <v>0.29360000000000003</v>
          </cell>
          <cell r="BI37">
            <v>0.29360000000000003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4A6D-95CF-46AB-AE18-E9B679A93012}">
  <sheetPr filterMode="1"/>
  <dimension ref="A1:AW72"/>
  <sheetViews>
    <sheetView tabSelected="1" workbookViewId="0">
      <pane xSplit="1" ySplit="3" topLeftCell="B6" activePane="bottomRight" state="frozen"/>
      <selection pane="topRight" activeCell="B1" sqref="B1"/>
      <selection pane="bottomLeft" activeCell="A2" sqref="A2"/>
      <selection pane="bottomRight" activeCell="A40" sqref="A40"/>
    </sheetView>
  </sheetViews>
  <sheetFormatPr defaultRowHeight="15.75" x14ac:dyDescent="0.25"/>
  <cols>
    <col min="1" max="1" width="13" bestFit="1" customWidth="1"/>
    <col min="2" max="2" width="12.7109375" customWidth="1"/>
    <col min="3" max="3" width="8.5703125" customWidth="1"/>
    <col min="4" max="4" width="14" style="33" customWidth="1"/>
    <col min="5" max="5" width="12.7109375" style="28" customWidth="1"/>
    <col min="6" max="6" width="5.5703125" style="28" bestFit="1" customWidth="1"/>
    <col min="7" max="7" width="29.140625" customWidth="1"/>
    <col min="8" max="8" width="17.42578125" style="1" customWidth="1"/>
    <col min="9" max="9" width="14.5703125" style="1" customWidth="1"/>
    <col min="10" max="10" width="18.42578125" customWidth="1"/>
    <col min="11" max="11" width="8.28515625" style="35" customWidth="1"/>
    <col min="12" max="12" width="36.85546875" customWidth="1"/>
    <col min="13" max="15" width="8.28515625" style="9" customWidth="1"/>
    <col min="16" max="17" width="8.28515625" style="2" hidden="1" customWidth="1"/>
    <col min="18" max="18" width="9" style="4" customWidth="1"/>
    <col min="19" max="19" width="8.7109375" style="4" customWidth="1"/>
    <col min="20" max="20" width="8.28515625" style="4" hidden="1" customWidth="1"/>
    <col min="21" max="21" width="8" style="4" customWidth="1"/>
    <col min="22" max="22" width="8.28515625" style="4" customWidth="1"/>
    <col min="23" max="26" width="8.28515625" style="13" customWidth="1"/>
    <col min="27" max="27" width="12.5703125" customWidth="1"/>
  </cols>
  <sheetData>
    <row r="1" spans="1:27" x14ac:dyDescent="0.25">
      <c r="A1" s="30" t="s">
        <v>26</v>
      </c>
      <c r="B1" s="32" t="s">
        <v>24</v>
      </c>
      <c r="C1" s="32"/>
      <c r="D1" s="31" t="s">
        <v>25</v>
      </c>
      <c r="E1" s="34" t="s">
        <v>27</v>
      </c>
      <c r="F1" s="34"/>
      <c r="K1" s="155"/>
      <c r="M1" s="9">
        <v>252</v>
      </c>
      <c r="N1" s="9">
        <v>252</v>
      </c>
      <c r="O1" s="9">
        <v>504</v>
      </c>
      <c r="P1" s="2">
        <v>330</v>
      </c>
      <c r="Q1" s="2">
        <v>190</v>
      </c>
      <c r="R1" s="4">
        <v>290</v>
      </c>
      <c r="S1" s="4">
        <v>290</v>
      </c>
      <c r="T1" s="4">
        <v>125</v>
      </c>
      <c r="U1" s="4">
        <v>300</v>
      </c>
      <c r="V1" s="4">
        <v>210</v>
      </c>
      <c r="W1" s="14">
        <v>130</v>
      </c>
      <c r="X1" s="14">
        <v>320</v>
      </c>
      <c r="Y1" s="14">
        <v>220</v>
      </c>
      <c r="Z1" s="14">
        <v>190</v>
      </c>
    </row>
    <row r="2" spans="1:27" ht="26.25" thickBot="1" x14ac:dyDescent="0.3">
      <c r="D2" s="28"/>
      <c r="K2" s="155"/>
      <c r="S2" s="8" t="s">
        <v>16</v>
      </c>
      <c r="T2" s="8" t="s">
        <v>17</v>
      </c>
      <c r="U2" s="8" t="s">
        <v>18</v>
      </c>
      <c r="V2" s="11" t="s">
        <v>19</v>
      </c>
      <c r="W2" s="14"/>
      <c r="X2" s="14"/>
      <c r="Y2" s="14"/>
      <c r="Z2" s="14"/>
    </row>
    <row r="3" spans="1:27" s="27" customFormat="1" ht="42" thickBot="1" x14ac:dyDescent="0.3">
      <c r="A3" s="15" t="s">
        <v>6</v>
      </c>
      <c r="B3" s="16" t="s">
        <v>23</v>
      </c>
      <c r="C3" s="133" t="s">
        <v>179</v>
      </c>
      <c r="D3" s="150" t="s">
        <v>0</v>
      </c>
      <c r="E3" s="17" t="s">
        <v>1</v>
      </c>
      <c r="F3" s="17"/>
      <c r="G3" s="18" t="s">
        <v>2</v>
      </c>
      <c r="H3" s="19" t="s">
        <v>3</v>
      </c>
      <c r="I3" s="19" t="s">
        <v>4</v>
      </c>
      <c r="J3" s="19" t="s">
        <v>5</v>
      </c>
      <c r="K3" s="153" t="s">
        <v>7</v>
      </c>
      <c r="L3" s="20" t="s">
        <v>8</v>
      </c>
      <c r="M3" s="21" t="s">
        <v>203</v>
      </c>
      <c r="N3" s="21" t="s">
        <v>204</v>
      </c>
      <c r="O3" s="21" t="s">
        <v>194</v>
      </c>
      <c r="P3" s="22" t="s">
        <v>9</v>
      </c>
      <c r="Q3" s="22" t="s">
        <v>10</v>
      </c>
      <c r="R3" s="23" t="s">
        <v>11</v>
      </c>
      <c r="S3" s="23" t="s">
        <v>12</v>
      </c>
      <c r="T3" s="24" t="s">
        <v>13</v>
      </c>
      <c r="U3" s="24" t="s">
        <v>14</v>
      </c>
      <c r="V3" s="25" t="s">
        <v>15</v>
      </c>
      <c r="W3" s="26" t="s">
        <v>20</v>
      </c>
      <c r="X3" s="26" t="s">
        <v>21</v>
      </c>
      <c r="Y3" s="26" t="s">
        <v>22</v>
      </c>
      <c r="Z3" s="26" t="s">
        <v>199</v>
      </c>
    </row>
    <row r="4" spans="1:27" ht="14.1" hidden="1" customHeight="1" x14ac:dyDescent="0.25">
      <c r="A4" s="5" t="s">
        <v>50</v>
      </c>
      <c r="B4" s="5"/>
      <c r="C4" s="147">
        <f>IFERROR(INDEX('SLH Fuel Surcharge'!$H$34:$BH$64,MATCH(Collections!G4,'SLH Fuel Surcharge'!$H$34:$H$64,0),MATCH(Collections!F4,'SLH Fuel Surcharge'!$H$34:$BH$34,0)),0)</f>
        <v>0</v>
      </c>
      <c r="D4" s="151">
        <v>46313</v>
      </c>
      <c r="E4" s="29">
        <v>46314</v>
      </c>
      <c r="F4" s="36">
        <f>VLOOKUP(D4,'date summary'!A:B,2,FALSE)</f>
        <v>30</v>
      </c>
      <c r="G4" s="5"/>
      <c r="H4" s="6">
        <v>228950414</v>
      </c>
      <c r="I4" s="6" t="s">
        <v>211</v>
      </c>
      <c r="J4" s="5" t="s">
        <v>73</v>
      </c>
      <c r="K4" s="154">
        <f t="shared" ref="K4:K35" si="0">M4/$M$1+$P4/$P$1+Q4/$Q$1+R4/$R$1+S4/$S$1+T4/$T$1+U4/$U$1+V4/$V$1+W4/$W$1+X4/$X$1+Y4/$Y$1+N4/252+O4/504+Z4/190</f>
        <v>33</v>
      </c>
      <c r="L4" s="62"/>
      <c r="M4" s="10">
        <v>8316</v>
      </c>
      <c r="N4" s="10"/>
      <c r="O4" s="10"/>
      <c r="P4" s="146"/>
      <c r="Q4" s="146"/>
      <c r="R4" s="7"/>
      <c r="S4" s="7"/>
      <c r="T4" s="7"/>
      <c r="U4" s="7"/>
      <c r="V4" s="12"/>
    </row>
    <row r="5" spans="1:27" ht="14.1" hidden="1" customHeight="1" x14ac:dyDescent="0.25">
      <c r="A5" s="5" t="s">
        <v>210</v>
      </c>
      <c r="B5" s="148" t="s">
        <v>266</v>
      </c>
      <c r="C5" s="147">
        <f>IFERROR(INDEX('SLH Fuel Surcharge'!$H$34:$BH$64,MATCH(Collections!G5,'SLH Fuel Surcharge'!$H$34:$H$64,0),MATCH(Collections!F5,'SLH Fuel Surcharge'!$H$34:$BH$34,0)),0)</f>
        <v>174.85118448</v>
      </c>
      <c r="D5" s="151">
        <v>46313</v>
      </c>
      <c r="E5" s="29">
        <v>46314</v>
      </c>
      <c r="F5" s="36">
        <f>VLOOKUP(D5,'date summary'!A:B,2,FALSE)</f>
        <v>30</v>
      </c>
      <c r="G5" s="5" t="s">
        <v>34</v>
      </c>
      <c r="H5" s="6" t="s">
        <v>229</v>
      </c>
      <c r="I5" s="6" t="s">
        <v>224</v>
      </c>
      <c r="J5" s="5" t="s">
        <v>77</v>
      </c>
      <c r="K5" s="154">
        <f t="shared" si="0"/>
        <v>22</v>
      </c>
      <c r="L5" s="62"/>
      <c r="M5" s="10"/>
      <c r="N5" s="10"/>
      <c r="O5" s="10"/>
      <c r="P5" s="146"/>
      <c r="Q5" s="146"/>
      <c r="R5" s="7"/>
      <c r="S5" s="7"/>
      <c r="T5" s="7"/>
      <c r="U5" s="7"/>
      <c r="V5" s="12"/>
      <c r="W5" s="167">
        <v>1300</v>
      </c>
      <c r="X5" s="13">
        <v>2880</v>
      </c>
      <c r="Y5" s="13">
        <v>660</v>
      </c>
    </row>
    <row r="6" spans="1:27" ht="14.1" customHeight="1" x14ac:dyDescent="0.25">
      <c r="A6" s="76" t="s">
        <v>41</v>
      </c>
      <c r="B6" s="163" t="s">
        <v>264</v>
      </c>
      <c r="C6" s="147">
        <f>IFERROR(INDEX('SLH Fuel Surcharge'!$H$34:$BH$64,MATCH(Collections!G6,'SLH Fuel Surcharge'!$H$34:$H$64,0),MATCH(Collections!F6,'SLH Fuel Surcharge'!$H$34:$BH$34,0)),0)</f>
        <v>632.23487544</v>
      </c>
      <c r="D6" s="164">
        <v>46313</v>
      </c>
      <c r="E6" s="164">
        <v>46314</v>
      </c>
      <c r="F6" s="165">
        <f>VLOOKUP(D6,'date summary'!A:B,2,FALSE)</f>
        <v>30</v>
      </c>
      <c r="G6" s="76" t="s">
        <v>195</v>
      </c>
      <c r="H6" s="165">
        <v>285449584</v>
      </c>
      <c r="I6" s="165" t="s">
        <v>238</v>
      </c>
      <c r="J6" s="76" t="s">
        <v>76</v>
      </c>
      <c r="K6" s="154">
        <f t="shared" si="0"/>
        <v>20</v>
      </c>
      <c r="L6" s="162" t="s">
        <v>234</v>
      </c>
      <c r="M6" s="10"/>
      <c r="N6" s="10"/>
      <c r="O6" s="10"/>
      <c r="P6" s="146"/>
      <c r="Q6" s="146"/>
      <c r="R6" s="7"/>
      <c r="S6" s="7"/>
      <c r="T6" s="7"/>
      <c r="U6" s="7"/>
      <c r="V6" s="12">
        <v>4200</v>
      </c>
      <c r="AA6" t="s">
        <v>250</v>
      </c>
    </row>
    <row r="7" spans="1:27" ht="14.1" customHeight="1" x14ac:dyDescent="0.25">
      <c r="A7" s="5" t="s">
        <v>41</v>
      </c>
      <c r="B7" s="5" t="s">
        <v>265</v>
      </c>
      <c r="C7" s="147">
        <f>IFERROR(INDEX('SLH Fuel Surcharge'!$H$34:$BH$64,MATCH(Collections!G7,'SLH Fuel Surcharge'!$H$34:$H$64,0),MATCH(Collections!F7,'SLH Fuel Surcharge'!$H$34:$BH$34,0)),0)</f>
        <v>571.70051064000006</v>
      </c>
      <c r="D7" s="151">
        <v>46313</v>
      </c>
      <c r="E7" s="29">
        <v>46314</v>
      </c>
      <c r="F7" s="36">
        <f>VLOOKUP(D7,'date summary'!A:B,2,FALSE)</f>
        <v>30</v>
      </c>
      <c r="G7" s="148" t="s">
        <v>188</v>
      </c>
      <c r="H7" s="6">
        <v>285449585</v>
      </c>
      <c r="I7" s="6" t="s">
        <v>246</v>
      </c>
      <c r="J7" s="5" t="s">
        <v>73</v>
      </c>
      <c r="K7" s="154">
        <f t="shared" si="0"/>
        <v>26</v>
      </c>
      <c r="L7" s="62"/>
      <c r="M7" s="10"/>
      <c r="N7" s="10"/>
      <c r="O7" s="10"/>
      <c r="P7" s="146"/>
      <c r="Q7" s="146"/>
      <c r="R7" s="7"/>
      <c r="S7" s="7"/>
      <c r="T7" s="7"/>
      <c r="U7" s="7"/>
      <c r="V7" s="12">
        <v>5460</v>
      </c>
      <c r="AA7" t="s">
        <v>258</v>
      </c>
    </row>
    <row r="8" spans="1:27" ht="14.1" hidden="1" customHeight="1" x14ac:dyDescent="0.25">
      <c r="A8" s="5" t="s">
        <v>50</v>
      </c>
      <c r="B8" s="5"/>
      <c r="C8" s="147">
        <f>IFERROR(INDEX('SLH Fuel Surcharge'!$H$34:$BH$64,MATCH(Collections!G8,'SLH Fuel Surcharge'!$H$34:$H$64,0),MATCH(Collections!F8,'SLH Fuel Surcharge'!$H$34:$BH$34,0)),0)</f>
        <v>0</v>
      </c>
      <c r="D8" s="151">
        <v>46314</v>
      </c>
      <c r="E8" s="29">
        <v>46315</v>
      </c>
      <c r="F8" s="36">
        <f>VLOOKUP(D8,'date summary'!A:B,2,FALSE)</f>
        <v>30</v>
      </c>
      <c r="G8" s="5"/>
      <c r="H8" s="6">
        <v>228950437</v>
      </c>
      <c r="I8" s="6" t="s">
        <v>212</v>
      </c>
      <c r="J8" s="5" t="s">
        <v>73</v>
      </c>
      <c r="K8" s="154">
        <f t="shared" si="0"/>
        <v>33</v>
      </c>
      <c r="L8" s="62"/>
      <c r="M8" s="10">
        <v>8316</v>
      </c>
      <c r="N8" s="10"/>
      <c r="O8" s="10"/>
      <c r="P8" s="146"/>
      <c r="Q8" s="146"/>
      <c r="R8" s="7"/>
      <c r="S8" s="7"/>
      <c r="T8" s="7"/>
      <c r="U8" s="7"/>
      <c r="V8" s="12"/>
    </row>
    <row r="9" spans="1:27" ht="14.1" hidden="1" customHeight="1" x14ac:dyDescent="0.25">
      <c r="A9" s="5" t="s">
        <v>50</v>
      </c>
      <c r="B9" s="148"/>
      <c r="C9" s="147">
        <f>IFERROR(INDEX('SLH Fuel Surcharge'!$H$34:$BH$64,MATCH(Collections!G9,'SLH Fuel Surcharge'!$H$34:$H$64,0),MATCH(Collections!F9,'SLH Fuel Surcharge'!$H$34:$BH$34,0)),0)</f>
        <v>0</v>
      </c>
      <c r="D9" s="151">
        <v>46314</v>
      </c>
      <c r="E9" s="29">
        <v>46315</v>
      </c>
      <c r="F9" s="36">
        <f>VLOOKUP(D9,'date summary'!A:B,2,FALSE)</f>
        <v>30</v>
      </c>
      <c r="G9" s="5"/>
      <c r="H9" s="6">
        <v>228950583</v>
      </c>
      <c r="I9" s="6" t="s">
        <v>218</v>
      </c>
      <c r="J9" s="5" t="s">
        <v>206</v>
      </c>
      <c r="K9" s="154">
        <f t="shared" si="0"/>
        <v>33</v>
      </c>
      <c r="L9" s="62" t="s">
        <v>207</v>
      </c>
      <c r="M9" s="10">
        <v>8316</v>
      </c>
      <c r="N9" s="10"/>
      <c r="O9" s="10"/>
      <c r="P9" s="146"/>
      <c r="Q9" s="146"/>
      <c r="R9" s="7"/>
      <c r="S9" s="7"/>
      <c r="T9" s="7"/>
      <c r="U9" s="7"/>
      <c r="V9" s="12"/>
    </row>
    <row r="10" spans="1:27" ht="14.1" customHeight="1" x14ac:dyDescent="0.25">
      <c r="A10" s="5" t="s">
        <v>41</v>
      </c>
      <c r="B10" s="5" t="s">
        <v>271</v>
      </c>
      <c r="C10" s="147">
        <f>IFERROR(INDEX('SLH Fuel Surcharge'!$H$34:$BH$64,MATCH(Collections!G10,'SLH Fuel Surcharge'!$H$34:$H$64,0),MATCH(Collections!F10,'SLH Fuel Surcharge'!$H$34:$BH$34,0)),0)</f>
        <v>571.70051064000006</v>
      </c>
      <c r="D10" s="151">
        <v>46314</v>
      </c>
      <c r="E10" s="29">
        <v>46315</v>
      </c>
      <c r="F10" s="36">
        <f>VLOOKUP(D10,'date summary'!A:B,2,FALSE)</f>
        <v>30</v>
      </c>
      <c r="G10" s="149" t="s">
        <v>188</v>
      </c>
      <c r="H10" s="6">
        <v>285451891</v>
      </c>
      <c r="I10" s="6" t="s">
        <v>243</v>
      </c>
      <c r="J10" s="5" t="s">
        <v>77</v>
      </c>
      <c r="K10" s="154">
        <f t="shared" si="0"/>
        <v>26</v>
      </c>
      <c r="L10" s="62"/>
      <c r="M10" s="10"/>
      <c r="N10" s="10"/>
      <c r="O10" s="10"/>
      <c r="P10" s="146"/>
      <c r="Q10" s="146"/>
      <c r="R10" s="7"/>
      <c r="S10" s="7"/>
      <c r="T10" s="7"/>
      <c r="U10" s="7">
        <v>3000</v>
      </c>
      <c r="V10" s="12">
        <v>3360</v>
      </c>
      <c r="AA10" t="s">
        <v>255</v>
      </c>
    </row>
    <row r="11" spans="1:27" ht="14.1" hidden="1" customHeight="1" x14ac:dyDescent="0.25">
      <c r="A11" s="5" t="s">
        <v>50</v>
      </c>
      <c r="B11" s="5"/>
      <c r="C11" s="147">
        <f>IFERROR(INDEX('SLH Fuel Surcharge'!$H$34:$BH$64,MATCH(Collections!G11,'SLH Fuel Surcharge'!$H$34:$H$64,0),MATCH(Collections!F11,'SLH Fuel Surcharge'!$H$34:$BH$34,0)),0)</f>
        <v>0</v>
      </c>
      <c r="D11" s="151">
        <v>46314</v>
      </c>
      <c r="E11" s="29">
        <v>46315</v>
      </c>
      <c r="F11" s="36">
        <f>VLOOKUP(D11,'date summary'!A:B,2,FALSE)</f>
        <v>30</v>
      </c>
      <c r="G11" s="5"/>
      <c r="H11" s="6">
        <v>229006114</v>
      </c>
      <c r="I11" s="6" t="s">
        <v>263</v>
      </c>
      <c r="J11" s="5" t="s">
        <v>208</v>
      </c>
      <c r="K11" s="154">
        <f t="shared" si="0"/>
        <v>33</v>
      </c>
      <c r="L11" s="62" t="s">
        <v>262</v>
      </c>
      <c r="M11" s="10"/>
      <c r="N11" s="10"/>
      <c r="O11" s="10">
        <v>16632</v>
      </c>
      <c r="P11" s="146"/>
      <c r="Q11" s="146"/>
      <c r="R11" s="7"/>
      <c r="S11" s="7"/>
      <c r="T11" s="7"/>
      <c r="U11" s="7"/>
      <c r="V11" s="12"/>
    </row>
    <row r="12" spans="1:27" ht="14.1" hidden="1" customHeight="1" x14ac:dyDescent="0.25">
      <c r="A12" s="5" t="s">
        <v>50</v>
      </c>
      <c r="B12" s="148"/>
      <c r="C12" s="147">
        <f>IFERROR(INDEX('SLH Fuel Surcharge'!$H$34:$BH$64,MATCH(Collections!G12,'SLH Fuel Surcharge'!$H$34:$H$64,0),MATCH(Collections!F12,'SLH Fuel Surcharge'!$H$34:$BH$34,0)),0)</f>
        <v>0</v>
      </c>
      <c r="D12" s="151">
        <v>46315</v>
      </c>
      <c r="E12" s="29">
        <v>46316</v>
      </c>
      <c r="F12" s="36">
        <f>VLOOKUP(D12,'date summary'!A:B,2,FALSE)</f>
        <v>30</v>
      </c>
      <c r="G12" s="5"/>
      <c r="H12" s="6">
        <v>228950456</v>
      </c>
      <c r="I12" s="6" t="s">
        <v>213</v>
      </c>
      <c r="J12" s="5" t="s">
        <v>73</v>
      </c>
      <c r="K12" s="154">
        <f t="shared" si="0"/>
        <v>33</v>
      </c>
      <c r="L12" s="62"/>
      <c r="M12" s="10">
        <v>8316</v>
      </c>
      <c r="N12" s="10"/>
      <c r="O12" s="10"/>
      <c r="P12" s="146"/>
      <c r="Q12" s="146"/>
      <c r="R12" s="7"/>
      <c r="S12" s="7"/>
      <c r="T12" s="7"/>
      <c r="U12" s="7"/>
      <c r="V12" s="12"/>
    </row>
    <row r="13" spans="1:27" ht="14.1" hidden="1" customHeight="1" x14ac:dyDescent="0.25">
      <c r="A13" s="5" t="s">
        <v>50</v>
      </c>
      <c r="B13" s="148"/>
      <c r="C13" s="147">
        <f>IFERROR(INDEX('SLH Fuel Surcharge'!$H$34:$BH$64,MATCH(Collections!G13,'SLH Fuel Surcharge'!$H$34:$H$64,0),MATCH(Collections!F13,'SLH Fuel Surcharge'!$H$34:$BH$34,0)),0)</f>
        <v>0</v>
      </c>
      <c r="D13" s="151">
        <v>46315</v>
      </c>
      <c r="E13" s="29">
        <v>46316</v>
      </c>
      <c r="F13" s="36">
        <f>VLOOKUP(D13,'date summary'!A:B,2,FALSE)</f>
        <v>30</v>
      </c>
      <c r="G13" s="5"/>
      <c r="H13" s="6">
        <v>228950614</v>
      </c>
      <c r="I13" s="6" t="s">
        <v>219</v>
      </c>
      <c r="J13" s="5" t="s">
        <v>206</v>
      </c>
      <c r="K13" s="154">
        <f t="shared" si="0"/>
        <v>33</v>
      </c>
      <c r="L13" s="62" t="s">
        <v>207</v>
      </c>
      <c r="M13" s="10">
        <v>8316</v>
      </c>
      <c r="N13" s="10"/>
      <c r="O13" s="10"/>
      <c r="P13" s="146"/>
      <c r="Q13" s="146"/>
      <c r="R13" s="7"/>
      <c r="S13" s="7"/>
      <c r="T13" s="7"/>
      <c r="U13" s="7"/>
      <c r="V13" s="12"/>
    </row>
    <row r="14" spans="1:27" ht="14.1" hidden="1" customHeight="1" x14ac:dyDescent="0.25">
      <c r="A14" s="5" t="s">
        <v>210</v>
      </c>
      <c r="B14" s="148" t="s">
        <v>267</v>
      </c>
      <c r="C14" s="147">
        <f>IFERROR(INDEX('SLH Fuel Surcharge'!$H$34:$BH$64,MATCH(Collections!G14,'SLH Fuel Surcharge'!$H$34:$H$64,0),MATCH(Collections!F14,'SLH Fuel Surcharge'!$H$34:$BH$34,0)),0)</f>
        <v>174.85118448</v>
      </c>
      <c r="D14" s="151">
        <v>46315</v>
      </c>
      <c r="E14" s="29">
        <v>46316</v>
      </c>
      <c r="F14" s="36">
        <f>VLOOKUP(D14,'date summary'!A:B,2,FALSE)</f>
        <v>30</v>
      </c>
      <c r="G14" s="5" t="s">
        <v>34</v>
      </c>
      <c r="H14" s="6" t="s">
        <v>230</v>
      </c>
      <c r="I14" s="6" t="s">
        <v>225</v>
      </c>
      <c r="J14" s="5" t="s">
        <v>77</v>
      </c>
      <c r="K14" s="154">
        <f t="shared" si="0"/>
        <v>26</v>
      </c>
      <c r="L14" s="62"/>
      <c r="M14" s="10"/>
      <c r="N14" s="10"/>
      <c r="O14" s="10"/>
      <c r="P14" s="146"/>
      <c r="Q14" s="146"/>
      <c r="R14" s="7"/>
      <c r="S14" s="7"/>
      <c r="T14" s="7"/>
      <c r="U14" s="7"/>
      <c r="V14" s="12"/>
      <c r="W14" s="13">
        <v>1820</v>
      </c>
      <c r="X14" s="13">
        <v>2880</v>
      </c>
      <c r="Y14" s="13">
        <v>660</v>
      </c>
    </row>
    <row r="15" spans="1:27" ht="14.1" customHeight="1" x14ac:dyDescent="0.25">
      <c r="A15" s="76" t="s">
        <v>41</v>
      </c>
      <c r="B15" s="163" t="s">
        <v>272</v>
      </c>
      <c r="C15" s="147">
        <f>IFERROR(INDEX('SLH Fuel Surcharge'!$H$34:$BH$64,MATCH(Collections!G15,'SLH Fuel Surcharge'!$H$34:$H$64,0),MATCH(Collections!F15,'SLH Fuel Surcharge'!$H$34:$BH$34,0)),0)</f>
        <v>632.23487544</v>
      </c>
      <c r="D15" s="164">
        <v>46315</v>
      </c>
      <c r="E15" s="164">
        <v>46316</v>
      </c>
      <c r="F15" s="165">
        <f>VLOOKUP(D15,'date summary'!A:B,2,FALSE)</f>
        <v>30</v>
      </c>
      <c r="G15" s="166" t="s">
        <v>195</v>
      </c>
      <c r="H15" s="165">
        <v>285451931</v>
      </c>
      <c r="I15" s="165" t="s">
        <v>239</v>
      </c>
      <c r="J15" s="76" t="s">
        <v>76</v>
      </c>
      <c r="K15" s="154">
        <f t="shared" si="0"/>
        <v>20</v>
      </c>
      <c r="L15" s="162" t="s">
        <v>235</v>
      </c>
      <c r="M15" s="10"/>
      <c r="N15" s="10"/>
      <c r="O15" s="10"/>
      <c r="P15" s="146"/>
      <c r="Q15" s="146"/>
      <c r="R15" s="7"/>
      <c r="S15" s="7"/>
      <c r="T15" s="7"/>
      <c r="U15" s="7"/>
      <c r="V15" s="12">
        <v>4200</v>
      </c>
      <c r="AA15" t="s">
        <v>251</v>
      </c>
    </row>
    <row r="16" spans="1:27" ht="14.1" customHeight="1" x14ac:dyDescent="0.25">
      <c r="A16" s="5" t="s">
        <v>41</v>
      </c>
      <c r="B16" s="5" t="s">
        <v>273</v>
      </c>
      <c r="C16" s="147">
        <f>IFERROR(INDEX('SLH Fuel Surcharge'!$H$34:$BH$64,MATCH(Collections!G16,'SLH Fuel Surcharge'!$H$34:$H$64,0),MATCH(Collections!F16,'SLH Fuel Surcharge'!$H$34:$BH$34,0)),0)</f>
        <v>571.70051064000006</v>
      </c>
      <c r="D16" s="151">
        <v>46315</v>
      </c>
      <c r="E16" s="29">
        <v>46316</v>
      </c>
      <c r="F16" s="36">
        <f>VLOOKUP(D16,'date summary'!A:B,2,FALSE)</f>
        <v>30</v>
      </c>
      <c r="G16" s="5" t="s">
        <v>188</v>
      </c>
      <c r="H16" s="6">
        <v>285451933</v>
      </c>
      <c r="I16" s="6" t="s">
        <v>247</v>
      </c>
      <c r="J16" s="5" t="s">
        <v>73</v>
      </c>
      <c r="K16" s="154">
        <f t="shared" si="0"/>
        <v>26</v>
      </c>
      <c r="L16" s="161"/>
      <c r="M16" s="10"/>
      <c r="N16" s="10"/>
      <c r="O16" s="10"/>
      <c r="P16" s="146"/>
      <c r="Q16" s="146"/>
      <c r="R16" s="7"/>
      <c r="S16" s="7"/>
      <c r="T16" s="7"/>
      <c r="U16" s="7"/>
      <c r="V16" s="12">
        <v>5460</v>
      </c>
      <c r="AA16" t="s">
        <v>259</v>
      </c>
    </row>
    <row r="17" spans="1:49" ht="14.1" hidden="1" customHeight="1" x14ac:dyDescent="0.25">
      <c r="A17" s="5" t="s">
        <v>50</v>
      </c>
      <c r="B17" s="148"/>
      <c r="C17" s="147">
        <f>IFERROR(INDEX('SLH Fuel Surcharge'!$H$34:$BH$64,MATCH(Collections!G17,'SLH Fuel Surcharge'!$H$34:$H$64,0),MATCH(Collections!F17,'SLH Fuel Surcharge'!$H$34:$BH$34,0)),0)</f>
        <v>0</v>
      </c>
      <c r="D17" s="151">
        <v>46316</v>
      </c>
      <c r="E17" s="29">
        <v>46317</v>
      </c>
      <c r="F17" s="36">
        <f>VLOOKUP(D17,'date summary'!A:B,2,FALSE)</f>
        <v>30</v>
      </c>
      <c r="G17" s="5"/>
      <c r="H17" s="6">
        <v>228950473</v>
      </c>
      <c r="I17" s="6" t="s">
        <v>214</v>
      </c>
      <c r="J17" s="5" t="s">
        <v>73</v>
      </c>
      <c r="K17" s="154">
        <f t="shared" si="0"/>
        <v>33</v>
      </c>
      <c r="L17" s="62"/>
      <c r="M17" s="10">
        <v>8316</v>
      </c>
      <c r="N17" s="10"/>
      <c r="O17" s="10"/>
      <c r="P17" s="146"/>
      <c r="Q17" s="146"/>
      <c r="R17" s="7"/>
      <c r="S17" s="7"/>
      <c r="T17" s="7"/>
      <c r="U17" s="7"/>
      <c r="V17" s="12"/>
    </row>
    <row r="18" spans="1:49" ht="14.1" hidden="1" customHeight="1" x14ac:dyDescent="0.25">
      <c r="A18" s="5" t="s">
        <v>210</v>
      </c>
      <c r="B18" s="148" t="s">
        <v>268</v>
      </c>
      <c r="C18" s="147">
        <f>IFERROR(INDEX('SLH Fuel Surcharge'!$H$34:$BH$64,MATCH(Collections!G18,'SLH Fuel Surcharge'!$H$34:$H$64,0),MATCH(Collections!F18,'SLH Fuel Surcharge'!$H$34:$BH$34,0)),0)</f>
        <v>174.85118448</v>
      </c>
      <c r="D18" s="151">
        <v>46316</v>
      </c>
      <c r="E18" s="29">
        <v>46317</v>
      </c>
      <c r="F18" s="36">
        <f>VLOOKUP(D18,'date summary'!A:B,2,FALSE)</f>
        <v>30</v>
      </c>
      <c r="G18" s="5" t="s">
        <v>34</v>
      </c>
      <c r="H18" s="6" t="s">
        <v>233</v>
      </c>
      <c r="I18" s="6" t="s">
        <v>228</v>
      </c>
      <c r="J18" s="5" t="s">
        <v>73</v>
      </c>
      <c r="K18" s="154">
        <f t="shared" si="0"/>
        <v>26</v>
      </c>
      <c r="L18" s="62"/>
      <c r="M18" s="10"/>
      <c r="N18" s="10"/>
      <c r="O18" s="10"/>
      <c r="P18" s="146"/>
      <c r="Q18" s="146"/>
      <c r="R18" s="7"/>
      <c r="S18" s="7"/>
      <c r="T18" s="7"/>
      <c r="U18" s="7"/>
      <c r="V18" s="12"/>
      <c r="X18" s="13">
        <v>1920</v>
      </c>
      <c r="Y18" s="13">
        <v>1100</v>
      </c>
      <c r="Z18" s="13">
        <v>2850</v>
      </c>
    </row>
    <row r="19" spans="1:49" ht="14.1" customHeight="1" x14ac:dyDescent="0.25">
      <c r="A19" s="5" t="s">
        <v>41</v>
      </c>
      <c r="B19" s="148"/>
      <c r="C19" s="147">
        <f>IFERROR(INDEX('SLH Fuel Surcharge'!$H$34:$BH$64,MATCH(Collections!G19,'SLH Fuel Surcharge'!$H$34:$H$64,0),MATCH(Collections!F19,'SLH Fuel Surcharge'!$H$34:$BH$34,0)),0)</f>
        <v>0</v>
      </c>
      <c r="D19" s="151">
        <v>46316</v>
      </c>
      <c r="E19" s="29">
        <v>46317</v>
      </c>
      <c r="F19" s="36">
        <f>VLOOKUP(D19,'date summary'!A:B,2,FALSE)</f>
        <v>30</v>
      </c>
      <c r="G19" s="5"/>
      <c r="H19" s="6"/>
      <c r="I19" s="6" t="s">
        <v>244</v>
      </c>
      <c r="J19" s="5" t="s">
        <v>77</v>
      </c>
      <c r="K19" s="154">
        <f t="shared" si="0"/>
        <v>26</v>
      </c>
      <c r="L19" s="62"/>
      <c r="M19" s="10"/>
      <c r="N19" s="10"/>
      <c r="O19" s="10"/>
      <c r="P19" s="146"/>
      <c r="Q19" s="146"/>
      <c r="R19" s="7"/>
      <c r="S19" s="7"/>
      <c r="T19" s="7"/>
      <c r="U19" s="7">
        <v>3000</v>
      </c>
      <c r="V19" s="12">
        <v>3360</v>
      </c>
      <c r="AA19" t="s">
        <v>256</v>
      </c>
    </row>
    <row r="20" spans="1:49" ht="14.1" hidden="1" customHeight="1" x14ac:dyDescent="0.25">
      <c r="A20" s="5" t="s">
        <v>50</v>
      </c>
      <c r="B20" s="148"/>
      <c r="C20" s="147">
        <f>IFERROR(INDEX('SLH Fuel Surcharge'!$H$34:$BH$64,MATCH(Collections!G20,'SLH Fuel Surcharge'!$H$34:$H$64,0),MATCH(Collections!F20,'SLH Fuel Surcharge'!$H$34:$BH$34,0)),0)</f>
        <v>0</v>
      </c>
      <c r="D20" s="151">
        <v>46317</v>
      </c>
      <c r="E20" s="29">
        <v>46318</v>
      </c>
      <c r="F20" s="36">
        <f>VLOOKUP(D20,'date summary'!A:B,2,FALSE)</f>
        <v>30</v>
      </c>
      <c r="G20" s="5"/>
      <c r="H20" s="6">
        <v>228950490</v>
      </c>
      <c r="I20" s="6" t="s">
        <v>215</v>
      </c>
      <c r="J20" s="5" t="s">
        <v>73</v>
      </c>
      <c r="K20" s="154">
        <f t="shared" si="0"/>
        <v>33</v>
      </c>
      <c r="L20" s="62"/>
      <c r="M20" s="10">
        <v>8316</v>
      </c>
      <c r="N20" s="10"/>
      <c r="O20" s="10"/>
      <c r="P20" s="146"/>
      <c r="Q20" s="146"/>
      <c r="R20" s="7"/>
      <c r="S20" s="7"/>
      <c r="U20" s="7"/>
      <c r="V20" s="12"/>
    </row>
    <row r="21" spans="1:49" ht="14.1" hidden="1" customHeight="1" x14ac:dyDescent="0.25">
      <c r="A21" s="5" t="s">
        <v>50</v>
      </c>
      <c r="B21" s="148"/>
      <c r="C21" s="147">
        <f>IFERROR(INDEX('SLH Fuel Surcharge'!$H$34:$BH$64,MATCH(Collections!G21,'SLH Fuel Surcharge'!$H$34:$H$64,0),MATCH(Collections!F21,'SLH Fuel Surcharge'!$H$34:$BH$34,0)),0)</f>
        <v>0</v>
      </c>
      <c r="D21" s="151">
        <v>46317</v>
      </c>
      <c r="E21" s="29">
        <v>46318</v>
      </c>
      <c r="F21" s="36">
        <f>VLOOKUP(D21,'date summary'!A:B,2,FALSE)</f>
        <v>30</v>
      </c>
      <c r="G21" s="63"/>
      <c r="H21" s="6">
        <v>228950631</v>
      </c>
      <c r="I21" s="6" t="s">
        <v>220</v>
      </c>
      <c r="J21" s="5" t="s">
        <v>206</v>
      </c>
      <c r="K21" s="154">
        <f t="shared" si="0"/>
        <v>33</v>
      </c>
      <c r="L21" s="62" t="s">
        <v>207</v>
      </c>
      <c r="M21" s="10">
        <v>8316</v>
      </c>
      <c r="N21" s="10"/>
      <c r="O21" s="10"/>
      <c r="P21" s="146"/>
      <c r="Q21" s="146"/>
      <c r="R21" s="7"/>
      <c r="S21" s="7"/>
      <c r="U21" s="7"/>
      <c r="V21" s="12"/>
    </row>
    <row r="22" spans="1:49" s="30" customFormat="1" ht="14.1" hidden="1" customHeight="1" x14ac:dyDescent="0.25">
      <c r="A22" s="5" t="s">
        <v>50</v>
      </c>
      <c r="B22" s="5"/>
      <c r="C22" s="147">
        <f>IFERROR(INDEX('SLH Fuel Surcharge'!$H$34:$BH$64,MATCH(Collections!G22,'SLH Fuel Surcharge'!$H$34:$H$64,0),MATCH(Collections!F22,'SLH Fuel Surcharge'!$H$34:$BH$34,0)),0)</f>
        <v>0</v>
      </c>
      <c r="D22" s="151">
        <v>46317</v>
      </c>
      <c r="E22" s="29">
        <v>46318</v>
      </c>
      <c r="F22" s="36">
        <f>VLOOKUP(D22,'date summary'!A:B,2,FALSE)</f>
        <v>30</v>
      </c>
      <c r="G22" s="5"/>
      <c r="H22" s="6">
        <v>228950674</v>
      </c>
      <c r="I22" s="6" t="s">
        <v>222</v>
      </c>
      <c r="J22" s="5" t="s">
        <v>73</v>
      </c>
      <c r="K22" s="154">
        <f t="shared" si="0"/>
        <v>33</v>
      </c>
      <c r="L22" s="62"/>
      <c r="M22" s="10"/>
      <c r="N22" s="10">
        <v>8316</v>
      </c>
      <c r="O22" s="10"/>
      <c r="P22" s="146"/>
      <c r="Q22" s="146"/>
      <c r="R22" s="7"/>
      <c r="S22" s="7"/>
      <c r="T22" s="7"/>
      <c r="U22" s="7"/>
      <c r="V22" s="12"/>
      <c r="W22" s="13"/>
      <c r="X22" s="13"/>
      <c r="Y22" s="13"/>
      <c r="Z22" s="13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1:49" s="30" customFormat="1" ht="14.1" hidden="1" customHeight="1" x14ac:dyDescent="0.25">
      <c r="A23" s="5" t="s">
        <v>210</v>
      </c>
      <c r="B23" s="148" t="s">
        <v>269</v>
      </c>
      <c r="C23" s="147">
        <f>IFERROR(INDEX('SLH Fuel Surcharge'!$H$34:$BH$64,MATCH(Collections!G23,'SLH Fuel Surcharge'!$H$34:$H$64,0),MATCH(Collections!F23,'SLH Fuel Surcharge'!$H$34:$BH$34,0)),0)</f>
        <v>174.85118448</v>
      </c>
      <c r="D23" s="151">
        <v>46317</v>
      </c>
      <c r="E23" s="29">
        <v>46318</v>
      </c>
      <c r="F23" s="36">
        <f>VLOOKUP(D23,'date summary'!A:B,2,FALSE)</f>
        <v>30</v>
      </c>
      <c r="G23" s="5" t="s">
        <v>34</v>
      </c>
      <c r="H23" s="6" t="s">
        <v>231</v>
      </c>
      <c r="I23" s="6" t="s">
        <v>226</v>
      </c>
      <c r="J23" s="5" t="s">
        <v>77</v>
      </c>
      <c r="K23" s="154">
        <f t="shared" si="0"/>
        <v>26</v>
      </c>
      <c r="L23" s="62"/>
      <c r="M23" s="10"/>
      <c r="N23" s="10"/>
      <c r="O23" s="10"/>
      <c r="P23" s="146"/>
      <c r="Q23" s="146"/>
      <c r="R23" s="7"/>
      <c r="S23" s="7"/>
      <c r="T23" s="7"/>
      <c r="U23" s="7"/>
      <c r="V23" s="12"/>
      <c r="W23" s="13">
        <v>1820</v>
      </c>
      <c r="X23" s="13">
        <v>2880</v>
      </c>
      <c r="Y23" s="13">
        <v>660</v>
      </c>
      <c r="Z23" s="1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1:49" ht="14.1" customHeight="1" x14ac:dyDescent="0.25">
      <c r="A24" s="76" t="s">
        <v>41</v>
      </c>
      <c r="B24" s="76"/>
      <c r="C24" s="147">
        <f>IFERROR(INDEX('SLH Fuel Surcharge'!$H$34:$BH$64,MATCH(Collections!G24,'SLH Fuel Surcharge'!$H$34:$H$64,0),MATCH(Collections!F24,'SLH Fuel Surcharge'!$H$34:$BH$34,0)),0)</f>
        <v>0</v>
      </c>
      <c r="D24" s="164">
        <v>46317</v>
      </c>
      <c r="E24" s="164">
        <v>46318</v>
      </c>
      <c r="F24" s="165">
        <f>VLOOKUP(D24,'date summary'!A:B,2,FALSE)</f>
        <v>30</v>
      </c>
      <c r="G24" s="166"/>
      <c r="H24" s="165"/>
      <c r="I24" s="165" t="s">
        <v>240</v>
      </c>
      <c r="J24" s="76" t="s">
        <v>76</v>
      </c>
      <c r="K24" s="154">
        <f t="shared" si="0"/>
        <v>20</v>
      </c>
      <c r="L24" s="162" t="s">
        <v>236</v>
      </c>
      <c r="M24" s="10"/>
      <c r="N24" s="10"/>
      <c r="O24" s="10"/>
      <c r="P24" s="146"/>
      <c r="Q24" s="146"/>
      <c r="R24" s="7"/>
      <c r="S24" s="7"/>
      <c r="T24" s="7"/>
      <c r="U24" s="7"/>
      <c r="V24" s="12">
        <v>4200</v>
      </c>
      <c r="AA24" t="s">
        <v>252</v>
      </c>
    </row>
    <row r="25" spans="1:49" ht="14.1" customHeight="1" x14ac:dyDescent="0.25">
      <c r="A25" s="5" t="s">
        <v>41</v>
      </c>
      <c r="B25" s="148"/>
      <c r="C25" s="147">
        <f>IFERROR(INDEX('SLH Fuel Surcharge'!$H$34:$BH$64,MATCH(Collections!G25,'SLH Fuel Surcharge'!$H$34:$H$64,0),MATCH(Collections!F25,'SLH Fuel Surcharge'!$H$34:$BH$34,0)),0)</f>
        <v>0</v>
      </c>
      <c r="D25" s="151">
        <v>46317</v>
      </c>
      <c r="E25" s="29">
        <v>46318</v>
      </c>
      <c r="F25" s="36">
        <f>VLOOKUP(D25,'date summary'!A:B,2,FALSE)</f>
        <v>30</v>
      </c>
      <c r="G25" s="5"/>
      <c r="H25" s="6"/>
      <c r="I25" s="6" t="s">
        <v>242</v>
      </c>
      <c r="J25" s="5" t="s">
        <v>73</v>
      </c>
      <c r="K25" s="154">
        <f t="shared" si="0"/>
        <v>19</v>
      </c>
      <c r="L25" s="62"/>
      <c r="M25" s="10"/>
      <c r="N25" s="10"/>
      <c r="O25" s="10"/>
      <c r="P25" s="146"/>
      <c r="Q25" s="146"/>
      <c r="R25" s="7">
        <v>3770</v>
      </c>
      <c r="S25" s="7">
        <v>1740</v>
      </c>
      <c r="T25" s="7"/>
      <c r="U25" s="7"/>
      <c r="V25" s="12"/>
      <c r="AA25" t="s">
        <v>254</v>
      </c>
    </row>
    <row r="26" spans="1:49" ht="14.1" customHeight="1" x14ac:dyDescent="0.25">
      <c r="A26" s="5" t="s">
        <v>41</v>
      </c>
      <c r="B26" s="5"/>
      <c r="C26" s="147">
        <f>IFERROR(INDEX('SLH Fuel Surcharge'!$H$34:$BH$64,MATCH(Collections!G26,'SLH Fuel Surcharge'!$H$34:$H$64,0),MATCH(Collections!F26,'SLH Fuel Surcharge'!$H$34:$BH$34,0)),0)</f>
        <v>0</v>
      </c>
      <c r="D26" s="151">
        <v>46317</v>
      </c>
      <c r="E26" s="29">
        <v>46318</v>
      </c>
      <c r="F26" s="36">
        <f>VLOOKUP(D26,'date summary'!A:B,2,FALSE)</f>
        <v>30</v>
      </c>
      <c r="G26" s="5"/>
      <c r="H26" s="6"/>
      <c r="I26" s="6" t="s">
        <v>248</v>
      </c>
      <c r="J26" s="5" t="s">
        <v>73</v>
      </c>
      <c r="K26" s="154">
        <f t="shared" si="0"/>
        <v>26</v>
      </c>
      <c r="L26" s="62"/>
      <c r="M26" s="10"/>
      <c r="N26" s="10"/>
      <c r="O26" s="10"/>
      <c r="P26" s="146"/>
      <c r="Q26" s="146"/>
      <c r="R26" s="7"/>
      <c r="S26" s="7"/>
      <c r="T26" s="7"/>
      <c r="U26" s="7"/>
      <c r="V26" s="12">
        <v>5460</v>
      </c>
      <c r="AA26" t="s">
        <v>260</v>
      </c>
    </row>
    <row r="27" spans="1:49" ht="14.1" hidden="1" customHeight="1" x14ac:dyDescent="0.25">
      <c r="A27" s="5" t="s">
        <v>50</v>
      </c>
      <c r="B27" s="148"/>
      <c r="C27" s="147">
        <f>IFERROR(INDEX('SLH Fuel Surcharge'!$H$34:$BH$64,MATCH(Collections!G27,'SLH Fuel Surcharge'!$H$34:$H$64,0),MATCH(Collections!F27,'SLH Fuel Surcharge'!$H$34:$BH$34,0)),0)</f>
        <v>0</v>
      </c>
      <c r="D27" s="151">
        <v>46318</v>
      </c>
      <c r="E27" s="29">
        <v>46319</v>
      </c>
      <c r="F27" s="36">
        <f>VLOOKUP(D27,'date summary'!A:B,2,FALSE)</f>
        <v>30</v>
      </c>
      <c r="G27" s="5"/>
      <c r="H27" s="6">
        <v>228950506</v>
      </c>
      <c r="I27" s="6" t="s">
        <v>216</v>
      </c>
      <c r="J27" s="5" t="s">
        <v>73</v>
      </c>
      <c r="K27" s="154">
        <f t="shared" si="0"/>
        <v>33</v>
      </c>
      <c r="L27" s="62"/>
      <c r="M27" s="10">
        <v>8316</v>
      </c>
      <c r="N27" s="10"/>
      <c r="O27" s="10"/>
      <c r="P27" s="146"/>
      <c r="Q27" s="146"/>
      <c r="R27" s="7"/>
      <c r="S27" s="7"/>
      <c r="T27" s="7"/>
      <c r="U27" s="7"/>
      <c r="V27" s="12"/>
    </row>
    <row r="28" spans="1:49" ht="14.1" hidden="1" customHeight="1" x14ac:dyDescent="0.25">
      <c r="A28" s="5" t="s">
        <v>50</v>
      </c>
      <c r="B28" s="5"/>
      <c r="C28" s="147">
        <f>IFERROR(INDEX('SLH Fuel Surcharge'!$H$34:$BH$64,MATCH(Collections!G28,'SLH Fuel Surcharge'!$H$34:$H$64,0),MATCH(Collections!F28,'SLH Fuel Surcharge'!$H$34:$BH$34,0)),0)</f>
        <v>0</v>
      </c>
      <c r="D28" s="151">
        <v>46318</v>
      </c>
      <c r="E28" s="29">
        <v>46319</v>
      </c>
      <c r="F28" s="36">
        <f>VLOOKUP(D28,'date summary'!A:B,2,FALSE)</f>
        <v>30</v>
      </c>
      <c r="G28" s="5"/>
      <c r="H28" s="6">
        <v>228950698</v>
      </c>
      <c r="I28" s="6" t="s">
        <v>223</v>
      </c>
      <c r="J28" s="5" t="s">
        <v>208</v>
      </c>
      <c r="K28" s="154">
        <f t="shared" si="0"/>
        <v>33</v>
      </c>
      <c r="L28" s="62" t="s">
        <v>209</v>
      </c>
      <c r="M28" s="10"/>
      <c r="N28" s="10"/>
      <c r="O28" s="10">
        <f>8568+8064</f>
        <v>16632</v>
      </c>
      <c r="P28" s="146"/>
      <c r="Q28" s="146"/>
      <c r="R28" s="7"/>
      <c r="S28" s="7"/>
      <c r="T28" s="7"/>
      <c r="U28" s="7"/>
      <c r="V28" s="12"/>
    </row>
    <row r="29" spans="1:49" ht="14.1" customHeight="1" x14ac:dyDescent="0.25">
      <c r="A29" s="5" t="s">
        <v>41</v>
      </c>
      <c r="B29" s="5"/>
      <c r="C29" s="147">
        <f>IFERROR(INDEX('SLH Fuel Surcharge'!$H$34:$BH$64,MATCH(Collections!G29,'SLH Fuel Surcharge'!$H$34:$H$64,0),MATCH(Collections!F29,'SLH Fuel Surcharge'!$H$34:$BH$34,0)),0)</f>
        <v>0</v>
      </c>
      <c r="D29" s="151">
        <v>46318</v>
      </c>
      <c r="E29" s="29">
        <v>46319</v>
      </c>
      <c r="F29" s="36">
        <f>VLOOKUP(D29,'date summary'!A:B,2,FALSE)</f>
        <v>30</v>
      </c>
      <c r="G29" s="5"/>
      <c r="H29" s="6"/>
      <c r="I29" s="6" t="s">
        <v>245</v>
      </c>
      <c r="J29" s="5" t="s">
        <v>77</v>
      </c>
      <c r="K29" s="154">
        <f t="shared" si="0"/>
        <v>26</v>
      </c>
      <c r="L29" s="62"/>
      <c r="M29" s="10"/>
      <c r="N29" s="10"/>
      <c r="O29" s="10"/>
      <c r="P29" s="146"/>
      <c r="Q29" s="146"/>
      <c r="R29" s="7"/>
      <c r="S29" s="7"/>
      <c r="T29" s="7"/>
      <c r="U29" s="7">
        <v>3000</v>
      </c>
      <c r="V29" s="12">
        <v>3360</v>
      </c>
      <c r="AA29" t="s">
        <v>257</v>
      </c>
    </row>
    <row r="30" spans="1:49" ht="14.1" hidden="1" customHeight="1" x14ac:dyDescent="0.25">
      <c r="A30" s="5" t="s">
        <v>50</v>
      </c>
      <c r="B30" s="148"/>
      <c r="C30" s="147">
        <f>IFERROR(INDEX('SLH Fuel Surcharge'!$H$34:$BH$64,MATCH(Collections!G30,'SLH Fuel Surcharge'!$H$34:$H$64,0),MATCH(Collections!F30,'SLH Fuel Surcharge'!$H$34:$BH$34,0)),0)</f>
        <v>0</v>
      </c>
      <c r="D30" s="151">
        <v>46319</v>
      </c>
      <c r="E30" s="29">
        <v>46320</v>
      </c>
      <c r="F30" s="36">
        <f>VLOOKUP(D30,'date summary'!A:B,2,FALSE)</f>
        <v>31</v>
      </c>
      <c r="G30" s="5"/>
      <c r="H30" s="6">
        <v>228950543</v>
      </c>
      <c r="I30" s="6" t="s">
        <v>217</v>
      </c>
      <c r="J30" s="5" t="s">
        <v>73</v>
      </c>
      <c r="K30" s="154">
        <f t="shared" si="0"/>
        <v>33</v>
      </c>
      <c r="L30" s="62"/>
      <c r="M30" s="10">
        <v>8316</v>
      </c>
      <c r="N30" s="10"/>
      <c r="O30" s="10"/>
      <c r="P30" s="146"/>
      <c r="Q30" s="146"/>
      <c r="R30" s="7"/>
      <c r="S30" s="7"/>
      <c r="T30" s="7"/>
      <c r="U30" s="7"/>
      <c r="V30" s="12"/>
    </row>
    <row r="31" spans="1:49" ht="14.1" hidden="1" customHeight="1" x14ac:dyDescent="0.25">
      <c r="A31" s="5" t="s">
        <v>50</v>
      </c>
      <c r="B31" s="5"/>
      <c r="C31" s="147">
        <f>IFERROR(INDEX('SLH Fuel Surcharge'!$H$34:$BH$64,MATCH(Collections!G31,'SLH Fuel Surcharge'!$H$34:$H$64,0),MATCH(Collections!F31,'SLH Fuel Surcharge'!$H$34:$BH$34,0)),0)</f>
        <v>0</v>
      </c>
      <c r="D31" s="151">
        <v>46319</v>
      </c>
      <c r="E31" s="29">
        <v>46320</v>
      </c>
      <c r="F31" s="36">
        <f>VLOOKUP(D31,'date summary'!A:B,2,FALSE)</f>
        <v>31</v>
      </c>
      <c r="G31" s="5"/>
      <c r="H31" s="6">
        <v>228950651</v>
      </c>
      <c r="I31" s="6" t="s">
        <v>221</v>
      </c>
      <c r="J31" s="5" t="s">
        <v>206</v>
      </c>
      <c r="K31" s="154">
        <f t="shared" si="0"/>
        <v>33</v>
      </c>
      <c r="L31" s="62" t="s">
        <v>207</v>
      </c>
      <c r="M31" s="10">
        <v>8316</v>
      </c>
      <c r="N31" s="10"/>
      <c r="O31" s="10"/>
      <c r="P31" s="146"/>
      <c r="Q31" s="146"/>
      <c r="R31" s="7"/>
      <c r="S31" s="7"/>
      <c r="T31" s="7"/>
      <c r="U31" s="7"/>
      <c r="V31" s="12"/>
    </row>
    <row r="32" spans="1:49" ht="14.1" hidden="1" customHeight="1" x14ac:dyDescent="0.25">
      <c r="A32" s="5" t="s">
        <v>210</v>
      </c>
      <c r="B32" s="148" t="s">
        <v>270</v>
      </c>
      <c r="C32" s="147">
        <f>IFERROR(INDEX('SLH Fuel Surcharge'!$H$34:$BH$64,MATCH(Collections!G32,'SLH Fuel Surcharge'!$H$34:$H$64,0),MATCH(Collections!F32,'SLH Fuel Surcharge'!$H$34:$BH$34,0)),0)</f>
        <v>106.10127999999999</v>
      </c>
      <c r="D32" s="151">
        <v>46319</v>
      </c>
      <c r="E32" s="29">
        <v>46320</v>
      </c>
      <c r="F32" s="36">
        <f>VLOOKUP(D32,'date summary'!A:B,2,FALSE)</f>
        <v>31</v>
      </c>
      <c r="G32" s="5" t="s">
        <v>34</v>
      </c>
      <c r="H32" s="6" t="s">
        <v>232</v>
      </c>
      <c r="I32" s="6" t="s">
        <v>227</v>
      </c>
      <c r="J32" s="5" t="s">
        <v>77</v>
      </c>
      <c r="K32" s="154">
        <f t="shared" si="0"/>
        <v>26</v>
      </c>
      <c r="L32" s="62"/>
      <c r="M32" s="10"/>
      <c r="N32" s="10"/>
      <c r="O32" s="10"/>
      <c r="P32" s="146"/>
      <c r="Q32" s="146"/>
      <c r="R32" s="7"/>
      <c r="S32" s="7"/>
      <c r="T32" s="7"/>
      <c r="U32" s="7"/>
      <c r="V32" s="12"/>
      <c r="W32" s="13">
        <v>1820</v>
      </c>
      <c r="X32" s="13">
        <v>2880</v>
      </c>
      <c r="Y32" s="13">
        <v>660</v>
      </c>
    </row>
    <row r="33" spans="1:27" ht="14.1" customHeight="1" x14ac:dyDescent="0.25">
      <c r="A33" s="76" t="s">
        <v>41</v>
      </c>
      <c r="B33" s="163"/>
      <c r="C33" s="147">
        <f>IFERROR(INDEX('SLH Fuel Surcharge'!$H$34:$BH$64,MATCH(Collections!G33,'SLH Fuel Surcharge'!$H$34:$H$64,0),MATCH(Collections!F33,'SLH Fuel Surcharge'!$H$34:$BH$34,0)),0)</f>
        <v>0</v>
      </c>
      <c r="D33" s="164">
        <v>46319</v>
      </c>
      <c r="E33" s="164">
        <v>46320</v>
      </c>
      <c r="F33" s="165">
        <f>VLOOKUP(D33,'date summary'!A:B,2,FALSE)</f>
        <v>31</v>
      </c>
      <c r="G33" s="76"/>
      <c r="H33" s="165"/>
      <c r="I33" s="165" t="s">
        <v>241</v>
      </c>
      <c r="J33" s="76" t="s">
        <v>76</v>
      </c>
      <c r="K33" s="154">
        <f t="shared" si="0"/>
        <v>20</v>
      </c>
      <c r="L33" s="162" t="s">
        <v>237</v>
      </c>
      <c r="M33" s="10"/>
      <c r="N33" s="10"/>
      <c r="O33" s="10"/>
      <c r="P33" s="146"/>
      <c r="Q33" s="146"/>
      <c r="R33" s="7"/>
      <c r="S33" s="7"/>
      <c r="T33" s="7"/>
      <c r="U33" s="7"/>
      <c r="V33" s="12">
        <v>4200</v>
      </c>
      <c r="AA33" t="s">
        <v>253</v>
      </c>
    </row>
    <row r="34" spans="1:27" ht="14.1" customHeight="1" x14ac:dyDescent="0.25">
      <c r="A34" s="5" t="s">
        <v>41</v>
      </c>
      <c r="B34" s="5"/>
      <c r="C34" s="147">
        <f>IFERROR(INDEX('SLH Fuel Surcharge'!$H$34:$BH$64,MATCH(Collections!G34,'SLH Fuel Surcharge'!$H$34:$H$64,0),MATCH(Collections!F34,'SLH Fuel Surcharge'!$H$34:$BH$34,0)),0)</f>
        <v>0</v>
      </c>
      <c r="D34" s="151">
        <v>46319</v>
      </c>
      <c r="E34" s="29">
        <v>46320</v>
      </c>
      <c r="F34" s="36">
        <f>VLOOKUP(D34,'date summary'!A:B,2,FALSE)</f>
        <v>31</v>
      </c>
      <c r="G34" s="5"/>
      <c r="H34" s="6"/>
      <c r="I34" s="6" t="s">
        <v>249</v>
      </c>
      <c r="J34" s="5" t="s">
        <v>73</v>
      </c>
      <c r="K34" s="154">
        <f t="shared" si="0"/>
        <v>26</v>
      </c>
      <c r="L34" s="75"/>
      <c r="M34" s="10"/>
      <c r="N34" s="10"/>
      <c r="O34" s="10"/>
      <c r="P34" s="146"/>
      <c r="Q34" s="146"/>
      <c r="R34" s="7"/>
      <c r="S34" s="7"/>
      <c r="T34" s="7"/>
      <c r="U34" s="7">
        <v>900</v>
      </c>
      <c r="V34" s="12">
        <v>4830</v>
      </c>
      <c r="AA34" t="s">
        <v>261</v>
      </c>
    </row>
    <row r="35" spans="1:27" ht="14.1" customHeight="1" x14ac:dyDescent="0.25">
      <c r="A35" s="5"/>
      <c r="B35" s="5"/>
      <c r="C35" s="147">
        <f>IFERROR(INDEX('SLH Fuel Surcharge'!$H$34:$BH$64,MATCH(Collections!G35,'SLH Fuel Surcharge'!$H$34:$H$64,0),MATCH(Collections!F35,'SLH Fuel Surcharge'!$H$34:$BH$34,0)),0)</f>
        <v>0</v>
      </c>
      <c r="D35" s="151"/>
      <c r="E35" s="29"/>
      <c r="F35" s="36" t="e">
        <f>VLOOKUP(D35,'date summary'!A:B,2,FALSE)</f>
        <v>#N/A</v>
      </c>
      <c r="G35" s="5"/>
      <c r="H35" s="6"/>
      <c r="I35" s="6"/>
      <c r="J35" s="5"/>
      <c r="K35" s="154">
        <f t="shared" si="0"/>
        <v>0</v>
      </c>
      <c r="L35" s="5"/>
      <c r="M35" s="10"/>
      <c r="N35" s="10"/>
      <c r="O35" s="10"/>
      <c r="P35" s="146"/>
      <c r="Q35" s="146"/>
      <c r="R35" s="7"/>
      <c r="S35" s="7"/>
      <c r="T35" s="7"/>
      <c r="U35" s="7"/>
      <c r="V35" s="12"/>
    </row>
    <row r="36" spans="1:27" ht="14.1" customHeight="1" x14ac:dyDescent="0.25">
      <c r="A36" s="5"/>
      <c r="B36" s="5"/>
      <c r="C36" s="147">
        <f>IFERROR(INDEX('SLH Fuel Surcharge'!$H$34:$BH$64,MATCH(Collections!G36,'SLH Fuel Surcharge'!$H$34:$H$64,0),MATCH(Collections!F36,'SLH Fuel Surcharge'!$H$34:$BH$34,0)),0)</f>
        <v>0</v>
      </c>
      <c r="D36" s="151"/>
      <c r="E36" s="29"/>
      <c r="F36" s="36" t="e">
        <f>VLOOKUP(D36,'date summary'!A:B,2,FALSE)</f>
        <v>#N/A</v>
      </c>
      <c r="G36" s="5"/>
      <c r="H36" s="6"/>
      <c r="I36" s="6"/>
      <c r="J36" s="5"/>
      <c r="K36" s="154">
        <f t="shared" ref="K36:K70" si="1">M36/$M$1+$P36/$P$1+Q36/$Q$1+R36/$R$1+S36/$S$1+T36/$T$1+U36/$U$1+V36/$V$1+W36/$W$1+X36/$X$1+Y36/$Y$1+N36/252+O36/504+Z36/190</f>
        <v>0</v>
      </c>
      <c r="L36" s="62"/>
      <c r="M36" s="10"/>
      <c r="N36" s="10"/>
      <c r="O36" s="10"/>
      <c r="P36" s="146"/>
      <c r="Q36" s="146"/>
      <c r="R36" s="7"/>
      <c r="S36" s="7"/>
      <c r="T36" s="7"/>
      <c r="U36" s="7"/>
      <c r="V36" s="12"/>
    </row>
    <row r="37" spans="1:27" ht="14.1" customHeight="1" x14ac:dyDescent="0.25">
      <c r="A37" s="5"/>
      <c r="B37" s="5"/>
      <c r="C37" s="147">
        <f>IFERROR(INDEX('SLH Fuel Surcharge'!$H$34:$BH$64,MATCH(Collections!G37,'SLH Fuel Surcharge'!$H$34:$H$64,0),MATCH(Collections!F37,'SLH Fuel Surcharge'!$H$34:$BH$34,0)),0)</f>
        <v>0</v>
      </c>
      <c r="D37" s="151"/>
      <c r="E37" s="29"/>
      <c r="F37" s="36" t="e">
        <f>VLOOKUP(D37,'date summary'!A:B,2,FALSE)</f>
        <v>#N/A</v>
      </c>
      <c r="G37" s="5"/>
      <c r="H37" s="6"/>
      <c r="I37" s="6"/>
      <c r="J37" s="5"/>
      <c r="K37" s="154">
        <f t="shared" si="1"/>
        <v>0</v>
      </c>
      <c r="L37" s="62"/>
      <c r="M37" s="10"/>
      <c r="N37" s="10"/>
      <c r="O37" s="10"/>
      <c r="P37" s="146"/>
      <c r="Q37" s="146"/>
      <c r="R37" s="7"/>
      <c r="S37" s="7"/>
      <c r="T37" s="7"/>
      <c r="U37" s="7"/>
      <c r="V37" s="12"/>
    </row>
    <row r="38" spans="1:27" ht="14.1" customHeight="1" x14ac:dyDescent="0.25">
      <c r="A38" s="5"/>
      <c r="B38" s="5"/>
      <c r="C38" s="147">
        <f>IFERROR(INDEX('SLH Fuel Surcharge'!$H$34:$BH$64,MATCH(Collections!G38,'SLH Fuel Surcharge'!$H$34:$H$64,0),MATCH(Collections!F38,'SLH Fuel Surcharge'!$H$34:$BH$34,0)),0)</f>
        <v>0</v>
      </c>
      <c r="D38" s="151"/>
      <c r="E38" s="29"/>
      <c r="F38" s="36" t="e">
        <f>VLOOKUP(D38,'date summary'!A:B,2,FALSE)</f>
        <v>#N/A</v>
      </c>
      <c r="G38" s="5"/>
      <c r="H38" s="6"/>
      <c r="I38" s="6"/>
      <c r="J38" s="5"/>
      <c r="K38" s="154">
        <f t="shared" si="1"/>
        <v>0</v>
      </c>
      <c r="L38" s="62"/>
      <c r="M38" s="10"/>
      <c r="N38" s="10"/>
      <c r="O38" s="10"/>
      <c r="P38" s="146"/>
      <c r="Q38" s="146"/>
      <c r="R38" s="7"/>
      <c r="S38" s="7"/>
      <c r="T38" s="7"/>
      <c r="U38" s="7"/>
      <c r="V38" s="12"/>
    </row>
    <row r="39" spans="1:27" ht="14.1" customHeight="1" x14ac:dyDescent="0.25">
      <c r="A39" s="5"/>
      <c r="B39" s="5"/>
      <c r="C39" s="147">
        <f>IFERROR(INDEX('SLH Fuel Surcharge'!$H$34:$BH$64,MATCH(Collections!G39,'SLH Fuel Surcharge'!$H$34:$H$64,0),MATCH(Collections!F39,'SLH Fuel Surcharge'!$H$34:$BH$34,0)),0)</f>
        <v>0</v>
      </c>
      <c r="D39" s="151"/>
      <c r="E39" s="29"/>
      <c r="F39" s="36" t="e">
        <f>VLOOKUP(D39,'date summary'!A:B,2,FALSE)</f>
        <v>#N/A</v>
      </c>
      <c r="G39" s="5"/>
      <c r="H39" s="6"/>
      <c r="I39" s="6"/>
      <c r="J39" s="5"/>
      <c r="K39" s="154">
        <f t="shared" si="1"/>
        <v>0</v>
      </c>
      <c r="L39" s="5"/>
      <c r="M39" s="10"/>
      <c r="N39" s="10"/>
      <c r="O39" s="10"/>
      <c r="P39" s="146"/>
      <c r="Q39" s="146"/>
      <c r="R39" s="7"/>
      <c r="S39" s="7"/>
      <c r="T39" s="7"/>
      <c r="U39" s="7"/>
      <c r="V39" s="12"/>
    </row>
    <row r="40" spans="1:27" ht="14.1" customHeight="1" x14ac:dyDescent="0.25">
      <c r="A40" s="5"/>
      <c r="B40" s="5"/>
      <c r="C40" s="147">
        <f>IFERROR(INDEX('SLH Fuel Surcharge'!$H$34:$BH$64,MATCH(Collections!G40,'SLH Fuel Surcharge'!$H$34:$H$64,0),MATCH(Collections!F40,'SLH Fuel Surcharge'!$H$34:$BH$34,0)),0)</f>
        <v>0</v>
      </c>
      <c r="D40" s="151"/>
      <c r="E40" s="29"/>
      <c r="F40" s="36" t="e">
        <f>VLOOKUP(D40,'date summary'!A:B,2,FALSE)</f>
        <v>#N/A</v>
      </c>
      <c r="G40" s="5"/>
      <c r="H40" s="6"/>
      <c r="I40" s="6"/>
      <c r="J40" s="5"/>
      <c r="K40" s="154">
        <f t="shared" si="1"/>
        <v>0</v>
      </c>
      <c r="L40" s="5"/>
      <c r="M40" s="10"/>
      <c r="N40" s="10"/>
      <c r="O40" s="10"/>
      <c r="P40" s="146"/>
      <c r="Q40" s="146"/>
      <c r="R40" s="7"/>
      <c r="S40" s="7"/>
      <c r="T40" s="7"/>
      <c r="U40" s="7"/>
      <c r="V40" s="12"/>
    </row>
    <row r="41" spans="1:27" ht="14.1" customHeight="1" x14ac:dyDescent="0.25">
      <c r="A41" s="5"/>
      <c r="B41" s="5"/>
      <c r="C41" s="147">
        <f>IFERROR(INDEX('SLH Fuel Surcharge'!$H$34:$BH$64,MATCH(Collections!G41,'SLH Fuel Surcharge'!$H$34:$H$64,0),MATCH(Collections!F41,'SLH Fuel Surcharge'!$H$34:$BH$34,0)),0)</f>
        <v>0</v>
      </c>
      <c r="D41" s="151"/>
      <c r="E41" s="29"/>
      <c r="F41" s="36" t="e">
        <f>VLOOKUP(D41,'date summary'!A:B,2,FALSE)</f>
        <v>#N/A</v>
      </c>
      <c r="G41" s="5"/>
      <c r="H41" s="6"/>
      <c r="I41" s="6"/>
      <c r="J41" s="5"/>
      <c r="K41" s="154">
        <f t="shared" si="1"/>
        <v>0</v>
      </c>
      <c r="L41" s="5"/>
      <c r="M41" s="10"/>
      <c r="N41" s="10"/>
      <c r="O41" s="10"/>
      <c r="P41" s="3"/>
      <c r="Q41" s="3"/>
      <c r="R41" s="7"/>
      <c r="S41" s="7"/>
      <c r="T41" s="7"/>
      <c r="U41" s="7"/>
      <c r="V41" s="12"/>
    </row>
    <row r="42" spans="1:27" ht="14.1" customHeight="1" x14ac:dyDescent="0.25">
      <c r="A42" s="5"/>
      <c r="B42" s="5"/>
      <c r="C42" s="147">
        <f>IFERROR(INDEX('SLH Fuel Surcharge'!$H$34:$BH$64,MATCH(Collections!G42,'SLH Fuel Surcharge'!$H$34:$H$64,0),MATCH(Collections!F42,'SLH Fuel Surcharge'!$H$34:$BH$34,0)),0)</f>
        <v>0</v>
      </c>
      <c r="D42" s="151"/>
      <c r="E42" s="29"/>
      <c r="F42" s="36" t="e">
        <f>VLOOKUP(D42,'date summary'!A:B,2,FALSE)</f>
        <v>#N/A</v>
      </c>
      <c r="G42" s="5"/>
      <c r="H42" s="6"/>
      <c r="I42" s="6"/>
      <c r="J42" s="5"/>
      <c r="K42" s="154">
        <f t="shared" si="1"/>
        <v>0</v>
      </c>
      <c r="L42" s="5"/>
      <c r="M42" s="10"/>
      <c r="N42" s="10"/>
      <c r="O42" s="10"/>
      <c r="P42" s="3"/>
      <c r="Q42" s="3"/>
      <c r="R42" s="7"/>
      <c r="S42" s="7"/>
      <c r="T42" s="7"/>
      <c r="U42" s="7"/>
      <c r="V42" s="12"/>
    </row>
    <row r="43" spans="1:27" ht="14.1" customHeight="1" x14ac:dyDescent="0.25">
      <c r="A43" s="5"/>
      <c r="B43" s="5"/>
      <c r="C43" s="147">
        <f>IFERROR(INDEX('SLH Fuel Surcharge'!$H$34:$BH$64,MATCH(Collections!G43,'SLH Fuel Surcharge'!$H$34:$H$64,0),MATCH(Collections!F43,'SLH Fuel Surcharge'!$H$34:$BH$34,0)),0)</f>
        <v>0</v>
      </c>
      <c r="D43" s="151"/>
      <c r="E43" s="29"/>
      <c r="F43" s="36" t="e">
        <f>VLOOKUP(D43,'date summary'!A:B,2,FALSE)</f>
        <v>#N/A</v>
      </c>
      <c r="G43" s="5"/>
      <c r="H43" s="6"/>
      <c r="I43" s="6"/>
      <c r="J43" s="5"/>
      <c r="K43" s="154">
        <f t="shared" si="1"/>
        <v>0</v>
      </c>
      <c r="L43" s="5"/>
      <c r="M43" s="10"/>
      <c r="N43" s="10"/>
      <c r="O43" s="10"/>
      <c r="P43" s="3"/>
      <c r="Q43" s="3"/>
      <c r="R43" s="7"/>
      <c r="S43" s="7"/>
      <c r="T43" s="7"/>
      <c r="U43" s="7"/>
      <c r="V43" s="12"/>
    </row>
    <row r="44" spans="1:27" ht="14.1" customHeight="1" x14ac:dyDescent="0.25">
      <c r="A44" s="5"/>
      <c r="B44" s="5"/>
      <c r="C44" s="147">
        <f>IFERROR(INDEX('SLH Fuel Surcharge'!$H$34:$BH$64,MATCH(Collections!G44,'SLH Fuel Surcharge'!$H$34:$H$64,0),MATCH(Collections!F44,'SLH Fuel Surcharge'!$H$34:$BH$34,0)),0)</f>
        <v>0</v>
      </c>
      <c r="D44" s="151"/>
      <c r="E44" s="29"/>
      <c r="F44" s="36" t="e">
        <f>VLOOKUP(D44,'date summary'!A:B,2,FALSE)</f>
        <v>#N/A</v>
      </c>
      <c r="G44" s="5"/>
      <c r="H44" s="6"/>
      <c r="I44" s="6"/>
      <c r="J44" s="5"/>
      <c r="K44" s="154">
        <f t="shared" si="1"/>
        <v>0</v>
      </c>
      <c r="L44" s="5"/>
      <c r="M44" s="10"/>
      <c r="N44" s="10"/>
      <c r="O44" s="10"/>
      <c r="P44" s="3"/>
      <c r="Q44" s="3"/>
      <c r="R44" s="7"/>
      <c r="S44" s="7"/>
      <c r="T44" s="7"/>
      <c r="U44" s="7"/>
      <c r="V44" s="12"/>
    </row>
    <row r="45" spans="1:27" ht="14.1" customHeight="1" x14ac:dyDescent="0.25">
      <c r="A45" s="5"/>
      <c r="B45" s="5"/>
      <c r="C45" s="147">
        <f>IFERROR(INDEX('SLH Fuel Surcharge'!$H$34:$BH$64,MATCH(Collections!G45,'SLH Fuel Surcharge'!$H$34:$H$64,0),MATCH(Collections!F45,'SLH Fuel Surcharge'!$H$34:$BH$34,0)),0)</f>
        <v>0</v>
      </c>
      <c r="D45" s="151"/>
      <c r="E45" s="29"/>
      <c r="F45" s="36" t="e">
        <f>VLOOKUP(D45,'date summary'!A:B,2,FALSE)</f>
        <v>#N/A</v>
      </c>
      <c r="G45" s="5"/>
      <c r="H45" s="6"/>
      <c r="I45" s="6"/>
      <c r="J45" s="5"/>
      <c r="K45" s="154">
        <f t="shared" si="1"/>
        <v>0</v>
      </c>
      <c r="L45" s="5"/>
      <c r="M45" s="10"/>
      <c r="N45" s="10"/>
      <c r="O45" s="10"/>
      <c r="P45" s="3"/>
      <c r="Q45" s="3"/>
      <c r="R45" s="7"/>
      <c r="S45" s="7"/>
      <c r="T45" s="7"/>
      <c r="U45" s="7"/>
      <c r="V45" s="12"/>
    </row>
    <row r="46" spans="1:27" ht="14.1" customHeight="1" x14ac:dyDescent="0.25">
      <c r="A46" s="5"/>
      <c r="B46" s="5"/>
      <c r="C46" s="147">
        <f>IFERROR(INDEX('SLH Fuel Surcharge'!$H$34:$BH$64,MATCH(Collections!G46,'SLH Fuel Surcharge'!$H$34:$H$64,0),MATCH(Collections!F46,'SLH Fuel Surcharge'!$H$34:$BH$34,0)),0)</f>
        <v>0</v>
      </c>
      <c r="D46" s="151"/>
      <c r="E46" s="29"/>
      <c r="F46" s="36" t="e">
        <f>VLOOKUP(D46,'date summary'!A:B,2,FALSE)</f>
        <v>#N/A</v>
      </c>
      <c r="G46" s="5"/>
      <c r="H46" s="6"/>
      <c r="I46" s="6"/>
      <c r="J46" s="5"/>
      <c r="K46" s="154">
        <f t="shared" si="1"/>
        <v>0</v>
      </c>
      <c r="L46" s="5"/>
      <c r="M46" s="10"/>
      <c r="N46" s="10"/>
      <c r="O46" s="10"/>
      <c r="P46" s="3"/>
      <c r="Q46" s="3"/>
      <c r="R46" s="7"/>
      <c r="S46" s="7"/>
      <c r="T46" s="7"/>
      <c r="U46" s="7"/>
      <c r="V46" s="12"/>
    </row>
    <row r="47" spans="1:27" ht="14.1" customHeight="1" x14ac:dyDescent="0.25">
      <c r="A47" s="5"/>
      <c r="B47" s="5"/>
      <c r="C47" s="147">
        <f>IFERROR(INDEX('SLH Fuel Surcharge'!$H$34:$BH$64,MATCH(Collections!G47,'SLH Fuel Surcharge'!$H$34:$H$64,0),MATCH(Collections!F47,'SLH Fuel Surcharge'!$H$34:$BH$34,0)),0)</f>
        <v>0</v>
      </c>
      <c r="D47" s="151"/>
      <c r="E47" s="29"/>
      <c r="F47" s="36" t="e">
        <f>VLOOKUP(D47,'date summary'!A:B,2,FALSE)</f>
        <v>#N/A</v>
      </c>
      <c r="G47" s="5"/>
      <c r="H47" s="6"/>
      <c r="I47" s="6"/>
      <c r="J47" s="5"/>
      <c r="K47" s="154">
        <f t="shared" si="1"/>
        <v>0</v>
      </c>
      <c r="L47" s="5"/>
      <c r="M47" s="10"/>
      <c r="N47" s="10"/>
      <c r="O47" s="10"/>
      <c r="P47" s="3"/>
      <c r="Q47" s="3"/>
      <c r="R47" s="7"/>
      <c r="S47" s="7"/>
      <c r="T47" s="7"/>
      <c r="U47" s="7"/>
      <c r="V47" s="12"/>
    </row>
    <row r="48" spans="1:27" ht="14.1" customHeight="1" x14ac:dyDescent="0.25">
      <c r="A48" s="5"/>
      <c r="B48" s="5"/>
      <c r="C48" s="147">
        <f>IFERROR(INDEX('SLH Fuel Surcharge'!$H$34:$BH$64,MATCH(Collections!G48,'SLH Fuel Surcharge'!$H$34:$H$64,0),MATCH(Collections!F48,'SLH Fuel Surcharge'!$H$34:$BH$34,0)),0)</f>
        <v>0</v>
      </c>
      <c r="D48" s="151"/>
      <c r="E48" s="29"/>
      <c r="F48" s="36" t="e">
        <f>VLOOKUP(D48,'date summary'!A:B,2,FALSE)</f>
        <v>#N/A</v>
      </c>
      <c r="G48" s="5"/>
      <c r="H48" s="6"/>
      <c r="I48" s="6"/>
      <c r="J48" s="5"/>
      <c r="K48" s="154">
        <f t="shared" si="1"/>
        <v>0</v>
      </c>
      <c r="L48" s="5"/>
      <c r="M48" s="10"/>
      <c r="N48" s="10"/>
      <c r="O48" s="10"/>
      <c r="P48" s="3"/>
      <c r="Q48" s="3"/>
      <c r="R48" s="7"/>
      <c r="S48" s="7"/>
      <c r="T48" s="7"/>
      <c r="U48" s="7"/>
      <c r="V48" s="12"/>
    </row>
    <row r="49" spans="1:22" ht="14.1" customHeight="1" x14ac:dyDescent="0.25">
      <c r="A49" s="5"/>
      <c r="B49" s="5"/>
      <c r="C49" s="147">
        <f>IFERROR(INDEX('SLH Fuel Surcharge'!$H$34:$BH$64,MATCH(Collections!G49,'SLH Fuel Surcharge'!$H$34:$H$64,0),MATCH(Collections!F49,'SLH Fuel Surcharge'!$H$34:$BH$34,0)),0)</f>
        <v>0</v>
      </c>
      <c r="D49" s="151"/>
      <c r="E49" s="29"/>
      <c r="F49" s="36" t="e">
        <f>VLOOKUP(D49,'date summary'!A:B,2,FALSE)</f>
        <v>#N/A</v>
      </c>
      <c r="G49" s="5"/>
      <c r="H49" s="6"/>
      <c r="I49" s="6"/>
      <c r="J49" s="5"/>
      <c r="K49" s="154">
        <f t="shared" si="1"/>
        <v>0</v>
      </c>
      <c r="L49" s="5"/>
      <c r="M49" s="10"/>
      <c r="N49" s="10"/>
      <c r="O49" s="10"/>
      <c r="P49" s="3"/>
      <c r="Q49" s="3"/>
      <c r="R49" s="7"/>
      <c r="S49" s="7"/>
      <c r="T49" s="7"/>
      <c r="U49" s="7"/>
      <c r="V49" s="12"/>
    </row>
    <row r="50" spans="1:22" ht="14.1" customHeight="1" x14ac:dyDescent="0.25">
      <c r="A50" s="5"/>
      <c r="B50" s="5"/>
      <c r="C50" s="147">
        <f>IFERROR(INDEX('SLH Fuel Surcharge'!$H$34:$BH$64,MATCH(Collections!G50,'SLH Fuel Surcharge'!$H$34:$H$64,0),MATCH(Collections!F50,'SLH Fuel Surcharge'!$H$34:$BH$34,0)),0)</f>
        <v>0</v>
      </c>
      <c r="D50" s="151"/>
      <c r="E50" s="29"/>
      <c r="F50" s="36" t="e">
        <f>VLOOKUP(D50,'date summary'!A:B,2,FALSE)</f>
        <v>#N/A</v>
      </c>
      <c r="G50" s="5"/>
      <c r="H50" s="6"/>
      <c r="I50" s="6"/>
      <c r="J50" s="5"/>
      <c r="K50" s="154">
        <f t="shared" si="1"/>
        <v>0</v>
      </c>
      <c r="L50" s="5"/>
      <c r="M50" s="10"/>
      <c r="N50" s="10"/>
      <c r="O50" s="10"/>
      <c r="P50" s="3"/>
      <c r="Q50" s="3"/>
      <c r="R50" s="7"/>
      <c r="S50" s="7"/>
      <c r="T50" s="7"/>
      <c r="U50" s="7"/>
      <c r="V50" s="12"/>
    </row>
    <row r="51" spans="1:22" ht="14.1" customHeight="1" x14ac:dyDescent="0.25">
      <c r="A51" s="5"/>
      <c r="B51" s="5"/>
      <c r="C51" s="147">
        <f>IFERROR(INDEX('SLH Fuel Surcharge'!$H$34:$BH$64,MATCH(Collections!G51,'SLH Fuel Surcharge'!$H$34:$H$64,0),MATCH(Collections!F51,'SLH Fuel Surcharge'!$H$34:$BH$34,0)),0)</f>
        <v>0</v>
      </c>
      <c r="D51" s="151"/>
      <c r="E51" s="29"/>
      <c r="F51" s="36" t="e">
        <f>VLOOKUP(D51,'date summary'!A:B,2,FALSE)</f>
        <v>#N/A</v>
      </c>
      <c r="G51" s="5"/>
      <c r="H51" s="6"/>
      <c r="I51" s="6"/>
      <c r="J51" s="5"/>
      <c r="K51" s="154">
        <f t="shared" si="1"/>
        <v>0</v>
      </c>
      <c r="L51" s="5"/>
      <c r="M51" s="10"/>
      <c r="N51" s="10"/>
      <c r="O51" s="10"/>
      <c r="P51" s="3"/>
      <c r="Q51" s="3"/>
      <c r="R51" s="7"/>
      <c r="S51" s="7"/>
      <c r="T51" s="7"/>
      <c r="U51" s="7"/>
      <c r="V51" s="12"/>
    </row>
    <row r="52" spans="1:22" ht="14.1" customHeight="1" x14ac:dyDescent="0.25">
      <c r="A52" s="5"/>
      <c r="B52" s="5"/>
      <c r="C52" s="147">
        <f>IFERROR(INDEX('SLH Fuel Surcharge'!$H$34:$BH$64,MATCH(Collections!G52,'SLH Fuel Surcharge'!$H$34:$H$64,0),MATCH(Collections!F52,'SLH Fuel Surcharge'!$H$34:$BH$34,0)),0)</f>
        <v>0</v>
      </c>
      <c r="D52" s="151"/>
      <c r="E52" s="29"/>
      <c r="F52" s="36" t="e">
        <f>VLOOKUP(D52,'date summary'!A:B,2,FALSE)</f>
        <v>#N/A</v>
      </c>
      <c r="G52" s="5"/>
      <c r="H52" s="6"/>
      <c r="I52" s="6"/>
      <c r="J52" s="5"/>
      <c r="K52" s="154">
        <f t="shared" si="1"/>
        <v>0</v>
      </c>
      <c r="L52" s="5"/>
      <c r="M52" s="10"/>
      <c r="N52" s="10"/>
      <c r="O52" s="10"/>
      <c r="P52" s="3"/>
      <c r="Q52" s="3"/>
      <c r="R52" s="7"/>
      <c r="S52" s="7"/>
      <c r="T52" s="7"/>
      <c r="U52" s="7"/>
      <c r="V52" s="12"/>
    </row>
    <row r="53" spans="1:22" ht="14.1" customHeight="1" x14ac:dyDescent="0.25">
      <c r="A53" s="5"/>
      <c r="B53" s="5"/>
      <c r="C53" s="147">
        <f>IFERROR(INDEX('SLH Fuel Surcharge'!$H$34:$BH$64,MATCH(Collections!G53,'SLH Fuel Surcharge'!$H$34:$H$64,0),MATCH(Collections!F53,'SLH Fuel Surcharge'!$H$34:$BH$34,0)),0)</f>
        <v>0</v>
      </c>
      <c r="D53" s="151"/>
      <c r="E53" s="29"/>
      <c r="F53" s="36" t="e">
        <f>VLOOKUP(D53,'date summary'!A:B,2,FALSE)</f>
        <v>#N/A</v>
      </c>
      <c r="G53" s="5"/>
      <c r="H53" s="6"/>
      <c r="I53" s="6"/>
      <c r="J53" s="5"/>
      <c r="K53" s="154">
        <f t="shared" si="1"/>
        <v>0</v>
      </c>
      <c r="L53" s="5"/>
      <c r="M53" s="10"/>
      <c r="N53" s="10"/>
      <c r="O53" s="10"/>
      <c r="P53" s="3"/>
      <c r="Q53" s="3"/>
      <c r="R53" s="7"/>
      <c r="S53" s="7"/>
      <c r="T53" s="7"/>
      <c r="U53" s="7"/>
      <c r="V53" s="12"/>
    </row>
    <row r="54" spans="1:22" ht="14.1" customHeight="1" x14ac:dyDescent="0.25">
      <c r="A54" s="5"/>
      <c r="B54" s="5"/>
      <c r="C54" s="147">
        <f>IFERROR(INDEX('SLH Fuel Surcharge'!$H$34:$BH$64,MATCH(Collections!G54,'SLH Fuel Surcharge'!$H$34:$H$64,0),MATCH(Collections!F54,'SLH Fuel Surcharge'!$H$34:$BH$34,0)),0)</f>
        <v>0</v>
      </c>
      <c r="D54" s="151"/>
      <c r="E54" s="29"/>
      <c r="F54" s="36" t="e">
        <f>VLOOKUP(D54,'date summary'!A:B,2,FALSE)</f>
        <v>#N/A</v>
      </c>
      <c r="G54" s="5"/>
      <c r="H54" s="6"/>
      <c r="I54" s="6"/>
      <c r="J54" s="5"/>
      <c r="K54" s="154">
        <f t="shared" si="1"/>
        <v>0</v>
      </c>
      <c r="L54" s="5"/>
      <c r="M54" s="10"/>
      <c r="N54" s="10"/>
      <c r="O54" s="10"/>
      <c r="P54" s="3"/>
      <c r="Q54" s="3"/>
      <c r="R54" s="7"/>
      <c r="S54" s="7"/>
      <c r="T54" s="7"/>
      <c r="U54" s="7"/>
      <c r="V54" s="12"/>
    </row>
    <row r="55" spans="1:22" ht="14.1" customHeight="1" x14ac:dyDescent="0.25">
      <c r="A55" s="5"/>
      <c r="B55" s="5"/>
      <c r="C55" s="147">
        <f>IFERROR(INDEX('SLH Fuel Surcharge'!$H$34:$BH$64,MATCH(Collections!G55,'SLH Fuel Surcharge'!$H$34:$H$64,0),MATCH(Collections!F55,'SLH Fuel Surcharge'!$H$34:$BH$34,0)),0)</f>
        <v>0</v>
      </c>
      <c r="D55" s="151"/>
      <c r="E55" s="29"/>
      <c r="F55" s="36" t="e">
        <f>VLOOKUP(D55,'date summary'!A:B,2,FALSE)</f>
        <v>#N/A</v>
      </c>
      <c r="G55" s="5"/>
      <c r="H55" s="6"/>
      <c r="I55" s="6"/>
      <c r="J55" s="5"/>
      <c r="K55" s="154">
        <f t="shared" si="1"/>
        <v>0</v>
      </c>
      <c r="L55" s="5"/>
      <c r="M55" s="10"/>
      <c r="N55" s="10"/>
      <c r="O55" s="10"/>
      <c r="P55" s="3"/>
      <c r="Q55" s="3"/>
      <c r="R55" s="7"/>
      <c r="S55" s="7"/>
      <c r="T55" s="7"/>
      <c r="U55" s="7"/>
      <c r="V55" s="12"/>
    </row>
    <row r="56" spans="1:22" ht="14.1" customHeight="1" x14ac:dyDescent="0.25">
      <c r="A56" s="5"/>
      <c r="B56" s="5"/>
      <c r="C56" s="147">
        <f>IFERROR(INDEX('SLH Fuel Surcharge'!$H$34:$BH$64,MATCH(Collections!G56,'SLH Fuel Surcharge'!$H$34:$H$64,0),MATCH(Collections!F56,'SLH Fuel Surcharge'!$H$34:$BH$34,0)),0)</f>
        <v>0</v>
      </c>
      <c r="D56" s="151"/>
      <c r="E56" s="29"/>
      <c r="F56" s="36" t="e">
        <f>VLOOKUP(D56,'date summary'!A:B,2,FALSE)</f>
        <v>#N/A</v>
      </c>
      <c r="G56" s="5"/>
      <c r="H56" s="6"/>
      <c r="I56" s="6"/>
      <c r="J56" s="5"/>
      <c r="K56" s="154">
        <f t="shared" si="1"/>
        <v>0</v>
      </c>
      <c r="L56" s="5"/>
      <c r="M56" s="10"/>
      <c r="N56" s="10"/>
      <c r="O56" s="10"/>
      <c r="P56" s="3"/>
      <c r="Q56" s="3"/>
      <c r="R56" s="7"/>
      <c r="S56" s="7"/>
      <c r="T56" s="7"/>
      <c r="U56" s="7"/>
      <c r="V56" s="12"/>
    </row>
    <row r="57" spans="1:22" ht="14.1" customHeight="1" x14ac:dyDescent="0.25">
      <c r="A57" s="5"/>
      <c r="B57" s="5"/>
      <c r="C57" s="147">
        <f>IFERROR(INDEX('SLH Fuel Surcharge'!$H$34:$BH$64,MATCH(Collections!G57,'SLH Fuel Surcharge'!$H$34:$H$64,0),MATCH(Collections!F57,'SLH Fuel Surcharge'!$H$34:$BH$34,0)),0)</f>
        <v>0</v>
      </c>
      <c r="D57" s="151"/>
      <c r="E57" s="29"/>
      <c r="F57" s="36" t="e">
        <f>VLOOKUP(D57,'date summary'!A:B,2,FALSE)</f>
        <v>#N/A</v>
      </c>
      <c r="G57" s="5"/>
      <c r="H57" s="6"/>
      <c r="I57" s="6"/>
      <c r="J57" s="5"/>
      <c r="K57" s="154">
        <f t="shared" si="1"/>
        <v>0</v>
      </c>
      <c r="L57" s="5"/>
      <c r="M57" s="10"/>
      <c r="N57" s="10"/>
      <c r="O57" s="10"/>
      <c r="P57" s="3"/>
      <c r="Q57" s="3"/>
      <c r="R57" s="7"/>
      <c r="S57" s="7"/>
      <c r="T57" s="7"/>
      <c r="U57" s="7"/>
      <c r="V57" s="12"/>
    </row>
    <row r="58" spans="1:22" ht="14.1" customHeight="1" x14ac:dyDescent="0.25">
      <c r="A58" s="5"/>
      <c r="B58" s="5"/>
      <c r="C58" s="147">
        <f>IFERROR(INDEX('SLH Fuel Surcharge'!$H$34:$BH$64,MATCH(Collections!G58,'SLH Fuel Surcharge'!$H$34:$H$64,0),MATCH(Collections!F58,'SLH Fuel Surcharge'!$H$34:$BH$34,0)),0)</f>
        <v>0</v>
      </c>
      <c r="D58" s="151"/>
      <c r="E58" s="29"/>
      <c r="F58" s="36" t="e">
        <f>VLOOKUP(D58,'date summary'!A:B,2,FALSE)</f>
        <v>#N/A</v>
      </c>
      <c r="G58" s="5"/>
      <c r="H58" s="6"/>
      <c r="I58" s="6"/>
      <c r="J58" s="5"/>
      <c r="K58" s="154">
        <f t="shared" si="1"/>
        <v>0</v>
      </c>
      <c r="L58" s="5"/>
      <c r="M58" s="10"/>
      <c r="N58" s="10"/>
      <c r="O58" s="10"/>
      <c r="P58" s="3"/>
      <c r="Q58" s="3"/>
      <c r="R58" s="7"/>
      <c r="S58" s="7"/>
      <c r="T58" s="7"/>
      <c r="U58" s="7"/>
      <c r="V58" s="12"/>
    </row>
    <row r="59" spans="1:22" ht="14.1" customHeight="1" x14ac:dyDescent="0.25">
      <c r="A59" s="5"/>
      <c r="B59" s="5"/>
      <c r="C59" s="147">
        <f>IFERROR(INDEX('SLH Fuel Surcharge'!$H$34:$BH$64,MATCH(Collections!G59,'SLH Fuel Surcharge'!$H$34:$H$64,0),MATCH(Collections!F59,'SLH Fuel Surcharge'!$H$34:$BH$34,0)),0)</f>
        <v>0</v>
      </c>
      <c r="D59" s="151"/>
      <c r="E59" s="29"/>
      <c r="F59" s="36" t="e">
        <f>VLOOKUP(D59,'date summary'!A:B,2,FALSE)</f>
        <v>#N/A</v>
      </c>
      <c r="G59" s="5"/>
      <c r="H59" s="6"/>
      <c r="I59" s="6"/>
      <c r="J59" s="5"/>
      <c r="K59" s="154">
        <f t="shared" si="1"/>
        <v>0</v>
      </c>
      <c r="L59" s="5"/>
      <c r="M59" s="10"/>
      <c r="N59" s="10"/>
      <c r="O59" s="10"/>
      <c r="P59" s="3"/>
      <c r="Q59" s="3"/>
      <c r="R59" s="7"/>
      <c r="S59" s="7"/>
      <c r="T59" s="7"/>
      <c r="U59" s="7"/>
      <c r="V59" s="12"/>
    </row>
    <row r="60" spans="1:22" ht="14.1" customHeight="1" x14ac:dyDescent="0.25">
      <c r="A60" s="5"/>
      <c r="B60" s="5"/>
      <c r="C60" s="147">
        <f>IFERROR(INDEX('SLH Fuel Surcharge'!$H$34:$BH$64,MATCH(Collections!G60,'SLH Fuel Surcharge'!$H$34:$H$64,0),MATCH(Collections!F60,'SLH Fuel Surcharge'!$H$34:$BH$34,0)),0)</f>
        <v>0</v>
      </c>
      <c r="D60" s="151"/>
      <c r="E60" s="29"/>
      <c r="F60" s="36" t="e">
        <f>VLOOKUP(D60,'date summary'!A:B,2,FALSE)</f>
        <v>#N/A</v>
      </c>
      <c r="G60" s="5"/>
      <c r="H60" s="6"/>
      <c r="I60" s="6"/>
      <c r="J60" s="5"/>
      <c r="K60" s="154">
        <f t="shared" si="1"/>
        <v>0</v>
      </c>
      <c r="L60" s="5"/>
      <c r="M60" s="10"/>
      <c r="N60" s="10"/>
      <c r="O60" s="10"/>
      <c r="P60" s="3"/>
      <c r="Q60" s="3"/>
      <c r="R60" s="7"/>
      <c r="S60" s="7"/>
      <c r="T60" s="7"/>
      <c r="U60" s="7"/>
      <c r="V60" s="12"/>
    </row>
    <row r="61" spans="1:22" ht="14.1" customHeight="1" x14ac:dyDescent="0.25">
      <c r="A61" s="5"/>
      <c r="B61" s="5"/>
      <c r="C61" s="147">
        <f>IFERROR(INDEX('SLH Fuel Surcharge'!$H$34:$BH$64,MATCH(Collections!G61,'SLH Fuel Surcharge'!$H$34:$H$64,0),MATCH(Collections!F61,'SLH Fuel Surcharge'!$H$34:$BH$34,0)),0)</f>
        <v>0</v>
      </c>
      <c r="D61" s="151"/>
      <c r="E61" s="29"/>
      <c r="F61" s="36" t="e">
        <f>VLOOKUP(D61,'date summary'!A:B,2,FALSE)</f>
        <v>#N/A</v>
      </c>
      <c r="G61" s="5"/>
      <c r="H61" s="6"/>
      <c r="I61" s="6"/>
      <c r="J61" s="5"/>
      <c r="K61" s="154">
        <f t="shared" si="1"/>
        <v>0</v>
      </c>
      <c r="L61" s="5"/>
      <c r="M61" s="10"/>
      <c r="N61" s="10"/>
      <c r="O61" s="10"/>
      <c r="P61" s="3"/>
      <c r="Q61" s="3"/>
      <c r="R61" s="7"/>
      <c r="S61" s="7"/>
      <c r="T61" s="7"/>
      <c r="U61" s="7"/>
      <c r="V61" s="12"/>
    </row>
    <row r="62" spans="1:22" ht="14.1" customHeight="1" x14ac:dyDescent="0.25">
      <c r="A62" s="5"/>
      <c r="B62" s="5"/>
      <c r="C62" s="147">
        <f>IFERROR(INDEX('SLH Fuel Surcharge'!$H$34:$BH$64,MATCH(Collections!G62,'SLH Fuel Surcharge'!$H$34:$H$64,0),MATCH(Collections!F62,'SLH Fuel Surcharge'!$H$34:$BH$34,0)),0)</f>
        <v>0</v>
      </c>
      <c r="D62" s="151"/>
      <c r="E62" s="29"/>
      <c r="F62" s="36" t="e">
        <f>VLOOKUP(D62,'date summary'!A:B,2,FALSE)</f>
        <v>#N/A</v>
      </c>
      <c r="G62" s="5"/>
      <c r="H62" s="6"/>
      <c r="I62" s="6"/>
      <c r="J62" s="5"/>
      <c r="K62" s="154">
        <f t="shared" si="1"/>
        <v>0</v>
      </c>
      <c r="L62" s="5"/>
      <c r="M62" s="10"/>
      <c r="N62" s="10"/>
      <c r="O62" s="10"/>
      <c r="P62" s="3"/>
      <c r="Q62" s="3"/>
      <c r="R62" s="7"/>
      <c r="S62" s="7"/>
      <c r="T62" s="7"/>
      <c r="U62" s="7"/>
      <c r="V62" s="12"/>
    </row>
    <row r="63" spans="1:22" ht="14.1" customHeight="1" x14ac:dyDescent="0.25">
      <c r="A63" s="5"/>
      <c r="B63" s="5"/>
      <c r="C63" s="147">
        <f>IFERROR(INDEX('SLH Fuel Surcharge'!$H$34:$BH$64,MATCH(Collections!G63,'SLH Fuel Surcharge'!$H$34:$H$64,0),MATCH(Collections!F63,'SLH Fuel Surcharge'!$H$34:$BH$34,0)),0)</f>
        <v>0</v>
      </c>
      <c r="D63" s="151"/>
      <c r="E63" s="29"/>
      <c r="F63" s="36" t="e">
        <f>VLOOKUP(D63,'date summary'!A:B,2,FALSE)</f>
        <v>#N/A</v>
      </c>
      <c r="G63" s="5"/>
      <c r="H63" s="6"/>
      <c r="I63" s="6"/>
      <c r="J63" s="5"/>
      <c r="K63" s="154">
        <f t="shared" si="1"/>
        <v>0</v>
      </c>
      <c r="L63" s="5"/>
      <c r="M63" s="10"/>
      <c r="N63" s="10"/>
      <c r="O63" s="10"/>
      <c r="P63" s="3"/>
      <c r="Q63" s="3"/>
      <c r="R63" s="7"/>
      <c r="S63" s="7"/>
      <c r="T63" s="7"/>
      <c r="U63" s="7"/>
      <c r="V63" s="12"/>
    </row>
    <row r="64" spans="1:22" ht="14.1" customHeight="1" x14ac:dyDescent="0.25">
      <c r="A64" s="5"/>
      <c r="B64" s="5"/>
      <c r="C64" s="147">
        <f>IFERROR(INDEX('SLH Fuel Surcharge'!$H$34:$BH$64,MATCH(Collections!G64,'SLH Fuel Surcharge'!$H$34:$H$64,0),MATCH(Collections!F64,'SLH Fuel Surcharge'!$H$34:$BH$34,0)),0)</f>
        <v>0</v>
      </c>
      <c r="D64" s="151"/>
      <c r="E64" s="29"/>
      <c r="F64" s="36" t="e">
        <f>VLOOKUP(D64,'date summary'!A:B,2,FALSE)</f>
        <v>#N/A</v>
      </c>
      <c r="G64" s="5"/>
      <c r="H64" s="6"/>
      <c r="I64" s="6"/>
      <c r="J64" s="5"/>
      <c r="K64" s="154">
        <f t="shared" si="1"/>
        <v>0</v>
      </c>
      <c r="L64" s="5"/>
      <c r="M64" s="10"/>
      <c r="N64" s="10"/>
      <c r="O64" s="10"/>
      <c r="P64" s="3"/>
      <c r="Q64" s="3"/>
      <c r="R64" s="7"/>
      <c r="S64" s="7"/>
      <c r="T64" s="7"/>
      <c r="U64" s="7"/>
      <c r="V64" s="12"/>
    </row>
    <row r="65" spans="1:22" ht="14.1" customHeight="1" x14ac:dyDescent="0.25">
      <c r="A65" s="5"/>
      <c r="B65" s="5"/>
      <c r="C65" s="147">
        <f>IFERROR(INDEX('SLH Fuel Surcharge'!$H$34:$BH$64,MATCH(Collections!G65,'SLH Fuel Surcharge'!$H$34:$H$64,0),MATCH(Collections!F65,'SLH Fuel Surcharge'!$H$34:$BH$34,0)),0)</f>
        <v>0</v>
      </c>
      <c r="D65" s="151"/>
      <c r="E65" s="29"/>
      <c r="F65" s="36" t="e">
        <f>VLOOKUP(D65,'date summary'!A:B,2,FALSE)</f>
        <v>#N/A</v>
      </c>
      <c r="G65" s="5"/>
      <c r="H65" s="6"/>
      <c r="I65" s="6"/>
      <c r="J65" s="5"/>
      <c r="K65" s="154">
        <f t="shared" si="1"/>
        <v>0</v>
      </c>
      <c r="L65" s="5"/>
      <c r="M65" s="10"/>
      <c r="N65" s="10"/>
      <c r="O65" s="10"/>
      <c r="P65" s="3"/>
      <c r="Q65" s="3"/>
      <c r="R65" s="7"/>
      <c r="S65" s="7"/>
      <c r="T65" s="7"/>
      <c r="U65" s="7"/>
      <c r="V65" s="12"/>
    </row>
    <row r="66" spans="1:22" ht="14.1" customHeight="1" x14ac:dyDescent="0.25">
      <c r="A66" s="5"/>
      <c r="B66" s="5"/>
      <c r="C66" s="147">
        <f>IFERROR(INDEX('SLH Fuel Surcharge'!$H$34:$BH$64,MATCH(Collections!G66,'SLH Fuel Surcharge'!$H$34:$H$64,0),MATCH(Collections!F66,'SLH Fuel Surcharge'!$H$34:$BH$34,0)),0)</f>
        <v>0</v>
      </c>
      <c r="D66" s="151"/>
      <c r="E66" s="29"/>
      <c r="F66" s="36" t="e">
        <f>VLOOKUP(D66,'date summary'!A:B,2,FALSE)</f>
        <v>#N/A</v>
      </c>
      <c r="G66" s="5"/>
      <c r="H66" s="6"/>
      <c r="I66" s="6"/>
      <c r="J66" s="5"/>
      <c r="K66" s="154">
        <f t="shared" si="1"/>
        <v>0</v>
      </c>
      <c r="L66" s="5"/>
      <c r="M66" s="10"/>
      <c r="N66" s="10"/>
      <c r="O66" s="10"/>
      <c r="P66" s="3"/>
      <c r="Q66" s="3"/>
      <c r="R66" s="7"/>
      <c r="S66" s="7"/>
      <c r="T66" s="7"/>
      <c r="U66" s="7"/>
      <c r="V66" s="12"/>
    </row>
    <row r="67" spans="1:22" ht="14.1" customHeight="1" x14ac:dyDescent="0.25">
      <c r="A67" s="5"/>
      <c r="B67" s="5"/>
      <c r="C67" s="147">
        <f>IFERROR(INDEX('SLH Fuel Surcharge'!$H$34:$BH$64,MATCH(Collections!G67,'SLH Fuel Surcharge'!$H$34:$H$64,0),MATCH(Collections!F67,'SLH Fuel Surcharge'!$H$34:$BH$34,0)),0)</f>
        <v>0</v>
      </c>
      <c r="D67" s="151"/>
      <c r="E67" s="29"/>
      <c r="F67" s="36" t="e">
        <f>VLOOKUP(D67,'date summary'!A:B,2,FALSE)</f>
        <v>#N/A</v>
      </c>
      <c r="G67" s="5"/>
      <c r="H67" s="6"/>
      <c r="I67" s="6"/>
      <c r="J67" s="5"/>
      <c r="K67" s="154">
        <f t="shared" si="1"/>
        <v>0</v>
      </c>
      <c r="L67" s="5"/>
      <c r="M67" s="10"/>
      <c r="N67" s="10"/>
      <c r="O67" s="10"/>
      <c r="P67" s="3"/>
      <c r="Q67" s="3"/>
      <c r="R67" s="7"/>
      <c r="S67" s="7"/>
      <c r="T67" s="7"/>
      <c r="U67" s="7"/>
      <c r="V67" s="12"/>
    </row>
    <row r="68" spans="1:22" ht="14.1" customHeight="1" x14ac:dyDescent="0.25">
      <c r="A68" s="5"/>
      <c r="B68" s="5"/>
      <c r="C68" s="147">
        <f>IFERROR(INDEX('SLH Fuel Surcharge'!$H$34:$BH$64,MATCH(Collections!G68,'SLH Fuel Surcharge'!$H$34:$H$64,0),MATCH(Collections!F68,'SLH Fuel Surcharge'!$H$34:$BH$34,0)),0)</f>
        <v>0</v>
      </c>
      <c r="D68" s="151"/>
      <c r="E68" s="29"/>
      <c r="F68" s="36" t="e">
        <f>VLOOKUP(D68,'date summary'!A:B,2,FALSE)</f>
        <v>#N/A</v>
      </c>
      <c r="G68" s="5"/>
      <c r="H68" s="6"/>
      <c r="I68" s="6"/>
      <c r="J68" s="5"/>
      <c r="K68" s="154">
        <f t="shared" si="1"/>
        <v>0</v>
      </c>
      <c r="L68" s="5"/>
      <c r="M68" s="10"/>
      <c r="N68" s="10"/>
      <c r="O68" s="10"/>
      <c r="P68" s="3"/>
      <c r="Q68" s="3"/>
      <c r="R68" s="7"/>
      <c r="S68" s="7"/>
      <c r="T68" s="7"/>
      <c r="U68" s="7"/>
      <c r="V68" s="12"/>
    </row>
    <row r="69" spans="1:22" ht="14.1" customHeight="1" x14ac:dyDescent="0.25">
      <c r="A69" s="5"/>
      <c r="B69" s="5"/>
      <c r="C69" s="147">
        <f>IFERROR(INDEX('SLH Fuel Surcharge'!$H$34:$BH$64,MATCH(Collections!G69,'SLH Fuel Surcharge'!$H$34:$H$64,0),MATCH(Collections!F69,'SLH Fuel Surcharge'!$H$34:$BH$34,0)),0)</f>
        <v>0</v>
      </c>
      <c r="D69" s="151"/>
      <c r="E69" s="29"/>
      <c r="F69" s="36" t="e">
        <f>VLOOKUP(D69,'date summary'!A:B,2,FALSE)</f>
        <v>#N/A</v>
      </c>
      <c r="G69" s="5"/>
      <c r="H69" s="6"/>
      <c r="I69" s="6"/>
      <c r="J69" s="5"/>
      <c r="K69" s="154">
        <f t="shared" si="1"/>
        <v>0</v>
      </c>
      <c r="L69" s="5"/>
      <c r="M69" s="10"/>
      <c r="N69" s="10"/>
      <c r="O69" s="10"/>
      <c r="P69" s="3"/>
      <c r="Q69" s="3"/>
      <c r="R69" s="7"/>
      <c r="S69" s="7"/>
      <c r="T69" s="7"/>
      <c r="U69" s="7"/>
      <c r="V69" s="12"/>
    </row>
    <row r="70" spans="1:22" ht="14.1" customHeight="1" x14ac:dyDescent="0.25">
      <c r="A70" s="5"/>
      <c r="B70" s="5"/>
      <c r="C70" s="147">
        <f>IFERROR(INDEX('SLH Fuel Surcharge'!$H$34:$BH$64,MATCH(Collections!G70,'SLH Fuel Surcharge'!$H$34:$H$64,0),MATCH(Collections!F70,'SLH Fuel Surcharge'!$H$34:$BH$34,0)),0)</f>
        <v>0</v>
      </c>
      <c r="D70" s="151"/>
      <c r="E70" s="29"/>
      <c r="F70" s="36" t="e">
        <f>VLOOKUP(D70,'date summary'!A:B,2,FALSE)</f>
        <v>#N/A</v>
      </c>
      <c r="G70" s="5"/>
      <c r="H70" s="6"/>
      <c r="I70" s="6"/>
      <c r="J70" s="5"/>
      <c r="K70" s="154">
        <f t="shared" si="1"/>
        <v>0</v>
      </c>
      <c r="L70" s="5"/>
      <c r="M70" s="10"/>
      <c r="N70" s="10"/>
      <c r="O70" s="10"/>
      <c r="P70" s="3"/>
      <c r="Q70" s="3"/>
      <c r="R70" s="7"/>
      <c r="S70" s="7"/>
      <c r="T70" s="7"/>
      <c r="U70" s="7"/>
      <c r="V70" s="12"/>
    </row>
    <row r="71" spans="1:22" x14ac:dyDescent="0.25">
      <c r="D71" s="152"/>
    </row>
    <row r="72" spans="1:22" x14ac:dyDescent="0.25">
      <c r="D72" s="152"/>
    </row>
  </sheetData>
  <autoFilter ref="A3:AW70" xr:uid="{AB564A6D-95CF-46AB-AE18-E9B679A93012}">
    <filterColumn colId="0">
      <filters blank="1">
        <filter val="IFCO"/>
      </filters>
    </filterColumn>
    <sortState xmlns:xlrd2="http://schemas.microsoft.com/office/spreadsheetml/2017/richdata2" ref="A4:AW70">
      <sortCondition ref="D3:D70"/>
    </sortState>
  </autoFilter>
  <phoneticPr fontId="10" type="noConversion"/>
  <conditionalFormatting sqref="K4:K70">
    <cfRule type="cellIs" dxfId="4" priority="6" operator="equal">
      <formula>0</formula>
    </cfRule>
  </conditionalFormatting>
  <conditionalFormatting sqref="L16">
    <cfRule type="cellIs" dxfId="3" priority="8" operator="equal">
      <formula>"freshcut"</formula>
    </cfRule>
  </conditionalFormatting>
  <conditionalFormatting sqref="L34">
    <cfRule type="cellIs" dxfId="2" priority="1" operator="equal">
      <formula>"freshcut"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100D-B7C0-465F-9A56-A9AAFED50306}">
  <sheetPr codeName="Sheet19">
    <tabColor rgb="FFFF0000"/>
  </sheetPr>
  <dimension ref="B2:BN505"/>
  <sheetViews>
    <sheetView topLeftCell="I1" zoomScale="90" zoomScaleNormal="90" workbookViewId="0">
      <selection activeCell="V9" sqref="V9"/>
    </sheetView>
  </sheetViews>
  <sheetFormatPr defaultRowHeight="15" x14ac:dyDescent="0.25"/>
  <cols>
    <col min="2" max="2" width="31.5703125" bestFit="1" customWidth="1"/>
    <col min="3" max="3" width="18.42578125" bestFit="1" customWidth="1"/>
    <col min="4" max="4" width="7.42578125" bestFit="1" customWidth="1"/>
    <col min="5" max="5" width="37.42578125" bestFit="1" customWidth="1"/>
    <col min="6" max="6" width="10.5703125" style="135" bestFit="1" customWidth="1"/>
    <col min="7" max="7" width="2" bestFit="1" customWidth="1"/>
    <col min="8" max="8" width="29.28515625" bestFit="1" customWidth="1"/>
    <col min="9" max="11" width="11.28515625" customWidth="1"/>
    <col min="12" max="22" width="11.5703125" customWidth="1"/>
    <col min="23" max="23" width="13.7109375" customWidth="1"/>
    <col min="24" max="40" width="11.5703125" customWidth="1"/>
    <col min="41" max="41" width="11" customWidth="1"/>
    <col min="42" max="57" width="10.5703125" customWidth="1"/>
    <col min="58" max="65" width="9" bestFit="1" customWidth="1"/>
  </cols>
  <sheetData>
    <row r="2" spans="2:65" x14ac:dyDescent="0.25">
      <c r="B2" s="5" t="s">
        <v>75</v>
      </c>
    </row>
    <row r="3" spans="2:65" x14ac:dyDescent="0.25">
      <c r="B3" s="5" t="s">
        <v>76</v>
      </c>
      <c r="H3" s="5"/>
      <c r="I3" s="5">
        <v>1</v>
      </c>
      <c r="J3" s="5">
        <v>2</v>
      </c>
      <c r="K3" s="5">
        <v>3</v>
      </c>
      <c r="L3" s="5">
        <v>4</v>
      </c>
      <c r="M3" s="5">
        <v>5</v>
      </c>
      <c r="N3" s="5">
        <v>6</v>
      </c>
      <c r="O3" s="5">
        <v>7</v>
      </c>
      <c r="P3" s="5">
        <v>8</v>
      </c>
      <c r="Q3" s="5">
        <v>9</v>
      </c>
      <c r="R3" s="5">
        <v>10</v>
      </c>
      <c r="S3" s="5">
        <v>11</v>
      </c>
      <c r="T3" s="5">
        <v>12</v>
      </c>
      <c r="U3" s="5">
        <v>13</v>
      </c>
      <c r="V3" s="5">
        <v>14</v>
      </c>
      <c r="W3" s="5">
        <v>15</v>
      </c>
      <c r="X3" s="5">
        <v>16</v>
      </c>
      <c r="Y3" s="5">
        <v>17</v>
      </c>
      <c r="Z3" s="5">
        <v>18</v>
      </c>
      <c r="AA3" s="5">
        <v>19</v>
      </c>
      <c r="AB3" s="5">
        <v>20</v>
      </c>
      <c r="AC3" s="5">
        <v>21</v>
      </c>
      <c r="AD3" s="5">
        <v>22</v>
      </c>
      <c r="AE3" s="5">
        <v>23</v>
      </c>
      <c r="AF3" s="5">
        <v>24</v>
      </c>
      <c r="AG3" s="5">
        <v>25</v>
      </c>
      <c r="AH3" s="5">
        <v>26</v>
      </c>
      <c r="AI3" s="5">
        <v>27</v>
      </c>
      <c r="AJ3" s="5">
        <v>28</v>
      </c>
      <c r="AK3" s="5">
        <v>29</v>
      </c>
      <c r="AL3" s="5">
        <v>30</v>
      </c>
      <c r="AM3" s="5">
        <v>31</v>
      </c>
      <c r="AN3" s="5">
        <v>32</v>
      </c>
      <c r="AO3" s="5">
        <v>33</v>
      </c>
      <c r="AP3" s="5">
        <v>34</v>
      </c>
      <c r="AQ3" s="5">
        <v>35</v>
      </c>
      <c r="AR3" s="5">
        <v>36</v>
      </c>
      <c r="AS3" s="5">
        <v>37</v>
      </c>
      <c r="AT3" s="5">
        <v>38</v>
      </c>
      <c r="AU3" s="5">
        <v>39</v>
      </c>
      <c r="AV3" s="5">
        <v>40</v>
      </c>
      <c r="AW3" s="5">
        <v>41</v>
      </c>
      <c r="AX3" s="5">
        <v>42</v>
      </c>
      <c r="AY3" s="5">
        <v>43</v>
      </c>
      <c r="AZ3" s="5">
        <v>44</v>
      </c>
      <c r="BA3" s="5">
        <v>45</v>
      </c>
      <c r="BB3" s="5">
        <v>46</v>
      </c>
      <c r="BC3" s="5">
        <v>47</v>
      </c>
      <c r="BD3" s="5">
        <v>48</v>
      </c>
      <c r="BE3" s="5">
        <v>49</v>
      </c>
      <c r="BF3" s="5">
        <v>50</v>
      </c>
      <c r="BG3" s="5">
        <v>51</v>
      </c>
      <c r="BH3" s="5">
        <v>52</v>
      </c>
    </row>
    <row r="4" spans="2:65" x14ac:dyDescent="0.25">
      <c r="B4" s="5" t="s">
        <v>77</v>
      </c>
      <c r="H4" s="5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</row>
    <row r="5" spans="2:65" x14ac:dyDescent="0.25">
      <c r="B5" s="5" t="s">
        <v>73</v>
      </c>
      <c r="H5" s="5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</row>
    <row r="6" spans="2:65" x14ac:dyDescent="0.25">
      <c r="B6" s="5"/>
      <c r="H6" s="5" t="s">
        <v>79</v>
      </c>
      <c r="I6" s="72">
        <f t="shared" ref="I6:AN6" si="0">I12</f>
        <v>0.13746352000000001</v>
      </c>
      <c r="J6" s="72">
        <f t="shared" si="0"/>
        <v>0.14911943999999999</v>
      </c>
      <c r="K6" s="72">
        <f t="shared" si="0"/>
        <v>0.15384640000000002</v>
      </c>
      <c r="L6" s="72">
        <f t="shared" si="0"/>
        <v>0.15687048000000003</v>
      </c>
      <c r="M6" s="72">
        <f t="shared" si="0"/>
        <v>0.12718752</v>
      </c>
      <c r="N6" s="72">
        <f t="shared" si="0"/>
        <v>0.11033488000000005</v>
      </c>
      <c r="O6" s="72">
        <f t="shared" si="0"/>
        <v>0.13482111999999996</v>
      </c>
      <c r="P6" s="72">
        <f t="shared" si="0"/>
        <v>0.12196143999999999</v>
      </c>
      <c r="Q6" s="72">
        <f t="shared" si="0"/>
        <v>0.11520864000000003</v>
      </c>
      <c r="R6" s="72">
        <f t="shared" si="0"/>
        <v>0.12193208000000003</v>
      </c>
      <c r="S6" s="72">
        <f t="shared" si="0"/>
        <v>0.10088096000000006</v>
      </c>
      <c r="T6" s="72">
        <f t="shared" si="0"/>
        <v>0.10205535999999998</v>
      </c>
      <c r="U6" s="72">
        <f t="shared" si="0"/>
        <v>9.7093519999999989E-2</v>
      </c>
      <c r="V6" s="72">
        <f t="shared" si="0"/>
        <v>7.5778160000000011E-2</v>
      </c>
      <c r="W6" s="72">
        <f t="shared" si="0"/>
        <v>7.3400000000000007E-2</v>
      </c>
      <c r="X6" s="72">
        <f t="shared" si="0"/>
        <v>7.6336000000000001E-2</v>
      </c>
      <c r="Y6" s="72">
        <f t="shared" si="0"/>
        <v>9.0282000000000001E-2</v>
      </c>
      <c r="Z6" s="72">
        <f t="shared" si="0"/>
        <v>8.7933199999999975E-2</v>
      </c>
      <c r="AA6" s="72">
        <f t="shared" si="0"/>
        <v>0.11018808000000002</v>
      </c>
      <c r="AB6" s="72">
        <f t="shared" si="0"/>
        <v>0.13241359999999999</v>
      </c>
      <c r="AC6" s="72">
        <f t="shared" si="0"/>
        <v>0.13822688000000005</v>
      </c>
      <c r="AD6" s="72">
        <f t="shared" si="0"/>
        <v>0.12348816000000001</v>
      </c>
      <c r="AE6" s="72">
        <f t="shared" si="0"/>
        <v>0.13261911999999998</v>
      </c>
      <c r="AF6" s="72">
        <f t="shared" si="0"/>
        <v>0.14515584000000001</v>
      </c>
      <c r="AG6" s="72">
        <f t="shared" si="0"/>
        <v>0.13552576</v>
      </c>
      <c r="AH6" s="72">
        <f t="shared" si="0"/>
        <v>0.15845592000000003</v>
      </c>
      <c r="AI6" s="72">
        <f t="shared" si="0"/>
        <v>0.16846768000000001</v>
      </c>
      <c r="AJ6" s="72">
        <f t="shared" si="0"/>
        <v>0.19139784000000001</v>
      </c>
      <c r="AK6" s="72">
        <f t="shared" si="0"/>
        <v>0.1823256</v>
      </c>
      <c r="AL6" s="72">
        <f t="shared" si="0"/>
        <v>0.16412240000000003</v>
      </c>
      <c r="AM6" s="72">
        <f t="shared" si="0"/>
        <v>-0.29360000000000003</v>
      </c>
      <c r="AN6" s="72">
        <f t="shared" si="0"/>
        <v>-0.29360000000000003</v>
      </c>
      <c r="AO6" s="72">
        <f t="shared" ref="AO6:BH6" si="1">AO12</f>
        <v>-0.29360000000000003</v>
      </c>
      <c r="AP6" s="72">
        <f t="shared" si="1"/>
        <v>-0.29360000000000003</v>
      </c>
      <c r="AQ6" s="72">
        <f t="shared" si="1"/>
        <v>-0.29360000000000003</v>
      </c>
      <c r="AR6" s="72">
        <f t="shared" si="1"/>
        <v>-0.29360000000000003</v>
      </c>
      <c r="AS6" s="72">
        <f t="shared" si="1"/>
        <v>-0.29360000000000003</v>
      </c>
      <c r="AT6" s="72">
        <f t="shared" si="1"/>
        <v>-0.29360000000000003</v>
      </c>
      <c r="AU6" s="72">
        <f t="shared" si="1"/>
        <v>-0.29360000000000003</v>
      </c>
      <c r="AV6" s="72">
        <f t="shared" si="1"/>
        <v>-0.29360000000000003</v>
      </c>
      <c r="AW6" s="72">
        <f t="shared" si="1"/>
        <v>-0.29360000000000003</v>
      </c>
      <c r="AX6" s="72">
        <f t="shared" si="1"/>
        <v>-0.29360000000000003</v>
      </c>
      <c r="AY6" s="72">
        <f t="shared" si="1"/>
        <v>-0.29360000000000003</v>
      </c>
      <c r="AZ6" s="72">
        <f t="shared" si="1"/>
        <v>-0.29360000000000003</v>
      </c>
      <c r="BA6" s="72">
        <f t="shared" si="1"/>
        <v>-0.29360000000000003</v>
      </c>
      <c r="BB6" s="72">
        <f t="shared" si="1"/>
        <v>-0.29360000000000003</v>
      </c>
      <c r="BC6" s="72">
        <f t="shared" si="1"/>
        <v>-0.29360000000000003</v>
      </c>
      <c r="BD6" s="72">
        <f t="shared" si="1"/>
        <v>-0.29360000000000003</v>
      </c>
      <c r="BE6" s="72">
        <f t="shared" si="1"/>
        <v>-0.29360000000000003</v>
      </c>
      <c r="BF6" s="72">
        <f t="shared" si="1"/>
        <v>-0.29360000000000003</v>
      </c>
      <c r="BG6" s="72">
        <f t="shared" si="1"/>
        <v>-0.29360000000000003</v>
      </c>
      <c r="BH6" s="72">
        <f t="shared" si="1"/>
        <v>-0.29360000000000003</v>
      </c>
    </row>
    <row r="7" spans="2:65" ht="15.75" thickBot="1" x14ac:dyDescent="0.3">
      <c r="B7" s="5"/>
    </row>
    <row r="8" spans="2:65" x14ac:dyDescent="0.25">
      <c r="B8" s="5"/>
      <c r="H8" s="78" t="s">
        <v>79</v>
      </c>
      <c r="I8" s="79">
        <f>'[1]Fuel Surcharge'!I$34</f>
        <v>46109</v>
      </c>
      <c r="J8" s="79">
        <f>'[1]Fuel Surcharge'!J$34</f>
        <v>46116</v>
      </c>
      <c r="K8" s="79">
        <f>'[1]Fuel Surcharge'!K$34</f>
        <v>46123</v>
      </c>
      <c r="L8" s="79">
        <f>'[1]Fuel Surcharge'!L$34</f>
        <v>46130</v>
      </c>
      <c r="M8" s="79">
        <f>'[1]Fuel Surcharge'!M$34</f>
        <v>46137</v>
      </c>
      <c r="N8" s="79">
        <f>'[1]Fuel Surcharge'!N$34</f>
        <v>46144</v>
      </c>
      <c r="O8" s="79">
        <f>'[1]Fuel Surcharge'!O$34</f>
        <v>46151</v>
      </c>
      <c r="P8" s="79">
        <f>'[1]Fuel Surcharge'!P$34</f>
        <v>46158</v>
      </c>
      <c r="Q8" s="79">
        <f>'[1]Fuel Surcharge'!Q$34</f>
        <v>46165</v>
      </c>
      <c r="R8" s="79">
        <f>'[1]Fuel Surcharge'!R$34</f>
        <v>46172</v>
      </c>
      <c r="S8" s="79">
        <f>'[1]Fuel Surcharge'!S$34</f>
        <v>46179</v>
      </c>
      <c r="T8" s="79">
        <f>'[1]Fuel Surcharge'!T$34</f>
        <v>46186</v>
      </c>
      <c r="U8" s="79">
        <f>'[1]Fuel Surcharge'!U$34</f>
        <v>46193</v>
      </c>
      <c r="V8" s="79">
        <f>'[1]Fuel Surcharge'!V$34</f>
        <v>46200</v>
      </c>
      <c r="W8" s="79">
        <f>'[2]Fuel Surcharge'!J$34</f>
        <v>46207</v>
      </c>
      <c r="X8" s="79">
        <f>'[2]Fuel Surcharge'!K$34</f>
        <v>46214</v>
      </c>
      <c r="Y8" s="79">
        <f>'[2]Fuel Surcharge'!L$34</f>
        <v>46221</v>
      </c>
      <c r="Z8" s="79">
        <f>'[2]Fuel Surcharge'!M$34</f>
        <v>46228</v>
      </c>
      <c r="AA8" s="79">
        <f>'[2]Fuel Surcharge'!N$34</f>
        <v>46235</v>
      </c>
      <c r="AB8" s="79">
        <f>'[2]Fuel Surcharge'!O$34</f>
        <v>46242</v>
      </c>
      <c r="AC8" s="79">
        <f>'[2]Fuel Surcharge'!P$34</f>
        <v>46249</v>
      </c>
      <c r="AD8" s="79">
        <f>'[2]Fuel Surcharge'!Q$34</f>
        <v>46256</v>
      </c>
      <c r="AE8" s="79">
        <f>'[2]Fuel Surcharge'!R$34</f>
        <v>46263</v>
      </c>
      <c r="AF8" s="79">
        <f>'[2]Fuel Surcharge'!S$34</f>
        <v>46270</v>
      </c>
      <c r="AG8" s="79">
        <f>'[2]Fuel Surcharge'!T$34</f>
        <v>46277</v>
      </c>
      <c r="AH8" s="79">
        <f>'[2]Fuel Surcharge'!U$34</f>
        <v>46284</v>
      </c>
      <c r="AI8" s="79">
        <f>'[2]Fuel Surcharge'!V$34</f>
        <v>46291</v>
      </c>
      <c r="AJ8" s="79">
        <f>'[2]Fuel Surcharge'!W$34</f>
        <v>46298</v>
      </c>
      <c r="AK8" s="79">
        <f>'[2]Fuel Surcharge'!X$34</f>
        <v>46305</v>
      </c>
      <c r="AL8" s="79">
        <f>'[2]Fuel Surcharge'!Y$34</f>
        <v>46312</v>
      </c>
      <c r="AM8" s="79">
        <f>'[2]Fuel Surcharge'!Z$34</f>
        <v>46319</v>
      </c>
      <c r="AN8" s="79">
        <f>'[2]Fuel Surcharge'!AA$34</f>
        <v>46326</v>
      </c>
      <c r="AO8" s="79">
        <f>'[2]Fuel Surcharge'!AB$34</f>
        <v>46333</v>
      </c>
      <c r="AP8" s="79">
        <f>'[2]Fuel Surcharge'!AC$34</f>
        <v>46340</v>
      </c>
      <c r="AQ8" s="79">
        <f>'[2]Fuel Surcharge'!AD$34</f>
        <v>46347</v>
      </c>
      <c r="AR8" s="79">
        <f>'[2]Fuel Surcharge'!AE$34</f>
        <v>46354</v>
      </c>
      <c r="AS8" s="79">
        <f>'[2]Fuel Surcharge'!AF$34</f>
        <v>46361</v>
      </c>
      <c r="AT8" s="79">
        <f>'[2]Fuel Surcharge'!AG$34</f>
        <v>46368</v>
      </c>
      <c r="AU8" s="79">
        <f>'[2]Fuel Surcharge'!AH$34</f>
        <v>46375</v>
      </c>
      <c r="AV8" s="79">
        <f>'[2]Fuel Surcharge'!AI$34</f>
        <v>46382</v>
      </c>
      <c r="AW8" s="79">
        <f>'[2]Fuel Surcharge'!AJ$34</f>
        <v>46389</v>
      </c>
      <c r="AX8" s="79">
        <f>'[2]Fuel Surcharge'!AK$34</f>
        <v>46396</v>
      </c>
      <c r="AY8" s="79">
        <f>'[2]Fuel Surcharge'!AL$34</f>
        <v>46403</v>
      </c>
      <c r="AZ8" s="79">
        <f>'[2]Fuel Surcharge'!AM$34</f>
        <v>46410</v>
      </c>
      <c r="BA8" s="79">
        <f>'[2]Fuel Surcharge'!AN$34</f>
        <v>46417</v>
      </c>
      <c r="BB8" s="79">
        <f>'[2]Fuel Surcharge'!AO$34</f>
        <v>46424</v>
      </c>
      <c r="BC8" s="79">
        <f>'[2]Fuel Surcharge'!AP$34</f>
        <v>46431</v>
      </c>
      <c r="BD8" s="79">
        <f>'[2]Fuel Surcharge'!AQ$34</f>
        <v>46438</v>
      </c>
      <c r="BE8" s="79">
        <f>'[2]Fuel Surcharge'!AR$34</f>
        <v>46445</v>
      </c>
      <c r="BF8" s="79">
        <f>'[2]Fuel Surcharge'!AS$34</f>
        <v>46452</v>
      </c>
      <c r="BG8" s="79">
        <f>'[2]Fuel Surcharge'!AT$34</f>
        <v>46459</v>
      </c>
      <c r="BH8" s="79">
        <f>'[2]Fuel Surcharge'!AU$34</f>
        <v>46466</v>
      </c>
      <c r="BI8" s="79">
        <f>'[2]Fuel Surcharge'!AV$34</f>
        <v>46473</v>
      </c>
      <c r="BJ8" s="79">
        <f>'[2]Fuel Surcharge'!AW$34</f>
        <v>46480</v>
      </c>
      <c r="BK8" s="79">
        <f>'[2]Fuel Surcharge'!AX$34</f>
        <v>46487</v>
      </c>
      <c r="BL8" s="79">
        <f>'[2]Fuel Surcharge'!AY$34</f>
        <v>46494</v>
      </c>
      <c r="BM8" s="79">
        <f>'[2]Fuel Surcharge'!AZ$34</f>
        <v>46501</v>
      </c>
    </row>
    <row r="9" spans="2:65" x14ac:dyDescent="0.25">
      <c r="H9" s="80" t="s">
        <v>102</v>
      </c>
      <c r="I9" s="81">
        <f>'[1]Fuel Surcharge'!I$35</f>
        <v>146.82</v>
      </c>
      <c r="J9" s="81">
        <f>'[1]Fuel Surcharge'!J$35</f>
        <v>150.79</v>
      </c>
      <c r="K9" s="81">
        <f>'[1]Fuel Surcharge'!K$35</f>
        <v>152.4</v>
      </c>
      <c r="L9" s="81">
        <f>'[1]Fuel Surcharge'!L$35</f>
        <v>153.43</v>
      </c>
      <c r="M9" s="81">
        <f>'[1]Fuel Surcharge'!M$35</f>
        <v>143.32</v>
      </c>
      <c r="N9" s="81">
        <f>'[1]Fuel Surcharge'!N$35</f>
        <v>137.58000000000001</v>
      </c>
      <c r="O9" s="81">
        <f>'[1]Fuel Surcharge'!O$35</f>
        <v>145.91999999999999</v>
      </c>
      <c r="P9" s="81">
        <f>'[1]Fuel Surcharge'!P$35</f>
        <v>141.54</v>
      </c>
      <c r="Q9" s="81">
        <f>'[1]Fuel Surcharge'!Q$35</f>
        <v>139.24</v>
      </c>
      <c r="R9" s="81">
        <f>'[1]Fuel Surcharge'!R$35</f>
        <v>141.53</v>
      </c>
      <c r="S9" s="81">
        <f>'[1]Fuel Surcharge'!S$35</f>
        <v>134.36000000000001</v>
      </c>
      <c r="T9" s="81">
        <f>'[1]Fuel Surcharge'!T$35</f>
        <v>134.76</v>
      </c>
      <c r="U9" s="81">
        <f>'[1]Fuel Surcharge'!U$35</f>
        <v>133.07</v>
      </c>
      <c r="V9" s="81">
        <f>'[1]Fuel Surcharge'!V$35</f>
        <v>125.81</v>
      </c>
      <c r="W9" s="81">
        <f>'[2]Fuel Surcharge'!J$35</f>
        <v>125</v>
      </c>
      <c r="X9" s="81">
        <f>'[2]Fuel Surcharge'!K$35</f>
        <v>126</v>
      </c>
      <c r="Y9" s="81">
        <f>'[2]Fuel Surcharge'!L$35</f>
        <v>130.75</v>
      </c>
      <c r="Z9" s="81">
        <f>'[2]Fuel Surcharge'!M$35</f>
        <v>129.94999999999999</v>
      </c>
      <c r="AA9" s="81">
        <f>'[2]Fuel Surcharge'!N$35</f>
        <v>137.53</v>
      </c>
      <c r="AB9" s="81">
        <f>'[2]Fuel Surcharge'!O$35</f>
        <v>145.1</v>
      </c>
      <c r="AC9" s="81">
        <f>'[2]Fuel Surcharge'!P$35</f>
        <v>147.08000000000001</v>
      </c>
      <c r="AD9" s="81">
        <f>'[2]Fuel Surcharge'!Q$35</f>
        <v>142.06</v>
      </c>
      <c r="AE9" s="81">
        <f>'[2]Fuel Surcharge'!R$35</f>
        <v>145.16999999999999</v>
      </c>
      <c r="AF9" s="81">
        <f>'[2]Fuel Surcharge'!S$35</f>
        <v>149.44</v>
      </c>
      <c r="AG9" s="81">
        <f>'[2]Fuel Surcharge'!T$35</f>
        <v>146.16</v>
      </c>
      <c r="AH9" s="81">
        <f>'[2]Fuel Surcharge'!U$35</f>
        <v>153.97</v>
      </c>
      <c r="AI9" s="81">
        <f>'[2]Fuel Surcharge'!V$35</f>
        <v>157.38</v>
      </c>
      <c r="AJ9" s="81">
        <f>'[2]Fuel Surcharge'!W$35</f>
        <v>165.19</v>
      </c>
      <c r="AK9" s="81">
        <f>'[2]Fuel Surcharge'!X$35</f>
        <v>162.1</v>
      </c>
      <c r="AL9" s="81">
        <f>'[2]Fuel Surcharge'!Y$35</f>
        <v>155.9</v>
      </c>
      <c r="AM9" s="81">
        <f>'[2]Fuel Surcharge'!Z$35</f>
        <v>0</v>
      </c>
      <c r="AN9" s="81">
        <f>'[2]Fuel Surcharge'!AA$35</f>
        <v>0</v>
      </c>
      <c r="AO9" s="81">
        <f>'[2]Fuel Surcharge'!AB$35</f>
        <v>0</v>
      </c>
      <c r="AP9" s="81">
        <f>'[2]Fuel Surcharge'!AC$35</f>
        <v>0</v>
      </c>
      <c r="AQ9" s="81">
        <f>'[2]Fuel Surcharge'!AD$35</f>
        <v>0</v>
      </c>
      <c r="AR9" s="81">
        <f>'[2]Fuel Surcharge'!AE$35</f>
        <v>0</v>
      </c>
      <c r="AS9" s="81">
        <f>'[2]Fuel Surcharge'!AF$35</f>
        <v>0</v>
      </c>
      <c r="AT9" s="81">
        <f>'[2]Fuel Surcharge'!AG$35</f>
        <v>0</v>
      </c>
      <c r="AU9" s="81">
        <f>'[2]Fuel Surcharge'!AH$35</f>
        <v>0</v>
      </c>
      <c r="AV9" s="81">
        <f>'[2]Fuel Surcharge'!AI$35</f>
        <v>0</v>
      </c>
      <c r="AW9" s="81">
        <f>'[2]Fuel Surcharge'!AJ$35</f>
        <v>0</v>
      </c>
      <c r="AX9" s="81">
        <f>'[2]Fuel Surcharge'!AK$35</f>
        <v>0</v>
      </c>
      <c r="AY9" s="81">
        <f>'[2]Fuel Surcharge'!AL$35</f>
        <v>0</v>
      </c>
      <c r="AZ9" s="81">
        <f>'[2]Fuel Surcharge'!AM$35</f>
        <v>0</v>
      </c>
      <c r="BA9" s="81">
        <f>'[2]Fuel Surcharge'!AN$35</f>
        <v>0</v>
      </c>
      <c r="BB9" s="81">
        <f>'[2]Fuel Surcharge'!AO$35</f>
        <v>0</v>
      </c>
      <c r="BC9" s="81">
        <f>'[2]Fuel Surcharge'!AP$35</f>
        <v>0</v>
      </c>
      <c r="BD9" s="81">
        <f>'[2]Fuel Surcharge'!AQ$35</f>
        <v>0</v>
      </c>
      <c r="BE9" s="81">
        <f>'[2]Fuel Surcharge'!AR$35</f>
        <v>0</v>
      </c>
      <c r="BF9" s="81">
        <f>'[2]Fuel Surcharge'!AS$35</f>
        <v>0</v>
      </c>
      <c r="BG9" s="81">
        <f>'[2]Fuel Surcharge'!AT$35</f>
        <v>0</v>
      </c>
      <c r="BH9" s="81">
        <f>'[2]Fuel Surcharge'!AU$35</f>
        <v>0</v>
      </c>
      <c r="BI9" s="81">
        <f>'[2]Fuel Surcharge'!AV$35</f>
        <v>0</v>
      </c>
      <c r="BJ9" s="81">
        <f>'[2]Fuel Surcharge'!AW$35</f>
        <v>0</v>
      </c>
      <c r="BK9" s="81">
        <f>'[2]Fuel Surcharge'!AX$35</f>
        <v>0</v>
      </c>
      <c r="BL9" s="81">
        <f>'[2]Fuel Surcharge'!AY$35</f>
        <v>0</v>
      </c>
      <c r="BM9" s="81">
        <f>'[2]Fuel Surcharge'!AZ$35</f>
        <v>0</v>
      </c>
    </row>
    <row r="10" spans="2:65" x14ac:dyDescent="0.25">
      <c r="H10" s="80" t="s">
        <v>104</v>
      </c>
      <c r="I10" s="82">
        <f>'[1]Fuel Surcharge'!I$36</f>
        <v>100</v>
      </c>
      <c r="J10" s="82">
        <f>'[1]Fuel Surcharge'!J$36</f>
        <v>100</v>
      </c>
      <c r="K10" s="82">
        <f>'[1]Fuel Surcharge'!K$36</f>
        <v>100</v>
      </c>
      <c r="L10" s="82">
        <f>'[1]Fuel Surcharge'!L$36</f>
        <v>100</v>
      </c>
      <c r="M10" s="82">
        <f>'[1]Fuel Surcharge'!M$36</f>
        <v>100</v>
      </c>
      <c r="N10" s="82">
        <f>'[1]Fuel Surcharge'!N$36</f>
        <v>100</v>
      </c>
      <c r="O10" s="82">
        <f>'[1]Fuel Surcharge'!O$36</f>
        <v>100</v>
      </c>
      <c r="P10" s="82">
        <f>'[1]Fuel Surcharge'!P$36</f>
        <v>100</v>
      </c>
      <c r="Q10" s="82">
        <f>'[1]Fuel Surcharge'!Q$36</f>
        <v>100</v>
      </c>
      <c r="R10" s="82">
        <f>'[1]Fuel Surcharge'!R$36</f>
        <v>100</v>
      </c>
      <c r="S10" s="82">
        <f>'[1]Fuel Surcharge'!S$36</f>
        <v>100</v>
      </c>
      <c r="T10" s="82">
        <f>'[1]Fuel Surcharge'!T$36</f>
        <v>100</v>
      </c>
      <c r="U10" s="82">
        <f>'[1]Fuel Surcharge'!U$36</f>
        <v>100</v>
      </c>
      <c r="V10" s="82">
        <f>'[1]Fuel Surcharge'!V$36</f>
        <v>100</v>
      </c>
      <c r="W10" s="82">
        <f>'[2]Fuel Surcharge'!W$36</f>
        <v>100</v>
      </c>
      <c r="X10" s="82">
        <f>'[2]Fuel Surcharge'!X$36</f>
        <v>100</v>
      </c>
      <c r="Y10" s="82">
        <f>'[2]Fuel Surcharge'!Y$36</f>
        <v>100</v>
      </c>
      <c r="Z10" s="82">
        <f>'[2]Fuel Surcharge'!Z$36</f>
        <v>100</v>
      </c>
      <c r="AA10" s="82">
        <f>'[2]Fuel Surcharge'!AA$36</f>
        <v>100</v>
      </c>
      <c r="AB10" s="82">
        <f>'[2]Fuel Surcharge'!AB$36</f>
        <v>100</v>
      </c>
      <c r="AC10" s="82">
        <f>'[2]Fuel Surcharge'!AC$36</f>
        <v>100</v>
      </c>
      <c r="AD10" s="82">
        <f>'[2]Fuel Surcharge'!AD$36</f>
        <v>100</v>
      </c>
      <c r="AE10" s="82">
        <f>'[2]Fuel Surcharge'!AE$36</f>
        <v>100</v>
      </c>
      <c r="AF10" s="82">
        <f>'[2]Fuel Surcharge'!AF$36</f>
        <v>100</v>
      </c>
      <c r="AG10" s="82">
        <f>'[2]Fuel Surcharge'!AG$36</f>
        <v>100</v>
      </c>
      <c r="AH10" s="82">
        <f>'[2]Fuel Surcharge'!AH$36</f>
        <v>100</v>
      </c>
      <c r="AI10" s="82">
        <f>'[2]Fuel Surcharge'!AI$36</f>
        <v>100</v>
      </c>
      <c r="AJ10" s="82">
        <f>'[2]Fuel Surcharge'!AJ$36</f>
        <v>100</v>
      </c>
      <c r="AK10" s="82">
        <f>'[2]Fuel Surcharge'!AK$36</f>
        <v>100</v>
      </c>
      <c r="AL10" s="82">
        <f>'[2]Fuel Surcharge'!AL$36</f>
        <v>100</v>
      </c>
      <c r="AM10" s="82">
        <f>'[2]Fuel Surcharge'!AM$36</f>
        <v>100</v>
      </c>
      <c r="AN10" s="82">
        <f>'[2]Fuel Surcharge'!AN$36</f>
        <v>100</v>
      </c>
      <c r="AO10" s="82">
        <f>'[2]Fuel Surcharge'!AO$36</f>
        <v>100</v>
      </c>
      <c r="AP10" s="82">
        <f>'[2]Fuel Surcharge'!AP$36</f>
        <v>100</v>
      </c>
      <c r="AQ10" s="82">
        <f>'[2]Fuel Surcharge'!AQ$36</f>
        <v>100</v>
      </c>
      <c r="AR10" s="82">
        <f>'[2]Fuel Surcharge'!AR$36</f>
        <v>100</v>
      </c>
      <c r="AS10" s="82">
        <f>'[2]Fuel Surcharge'!AS$36</f>
        <v>100</v>
      </c>
      <c r="AT10" s="82">
        <f>'[2]Fuel Surcharge'!AT$36</f>
        <v>100</v>
      </c>
      <c r="AU10" s="82">
        <f>'[2]Fuel Surcharge'!AU$36</f>
        <v>100</v>
      </c>
      <c r="AV10" s="82">
        <f>'[2]Fuel Surcharge'!AV$36</f>
        <v>100</v>
      </c>
      <c r="AW10" s="82">
        <f>'[2]Fuel Surcharge'!AW$36</f>
        <v>100</v>
      </c>
      <c r="AX10" s="82">
        <f>'[2]Fuel Surcharge'!AX$36</f>
        <v>100</v>
      </c>
      <c r="AY10" s="82">
        <f>'[2]Fuel Surcharge'!AY$36</f>
        <v>100</v>
      </c>
      <c r="AZ10" s="82">
        <f>'[2]Fuel Surcharge'!AZ$36</f>
        <v>100</v>
      </c>
      <c r="BA10" s="82">
        <f>'[2]Fuel Surcharge'!BA$36</f>
        <v>100</v>
      </c>
      <c r="BB10" s="82">
        <f>'[2]Fuel Surcharge'!BB$36</f>
        <v>100</v>
      </c>
      <c r="BC10" s="82">
        <f>'[2]Fuel Surcharge'!BC$36</f>
        <v>100</v>
      </c>
      <c r="BD10" s="82">
        <f>'[2]Fuel Surcharge'!BD$36</f>
        <v>100</v>
      </c>
      <c r="BE10" s="82">
        <f>'[2]Fuel Surcharge'!BE$36</f>
        <v>100</v>
      </c>
      <c r="BF10" s="82">
        <f>'[2]Fuel Surcharge'!BF$36</f>
        <v>100</v>
      </c>
      <c r="BG10" s="82">
        <f>'[2]Fuel Surcharge'!BG$36</f>
        <v>100</v>
      </c>
      <c r="BH10" s="82">
        <f>'[2]Fuel Surcharge'!BH$36</f>
        <v>100</v>
      </c>
      <c r="BI10" s="82">
        <f>'[2]Fuel Surcharge'!BI$36</f>
        <v>100</v>
      </c>
      <c r="BJ10" s="82">
        <f>'[2]Fuel Surcharge'!BJ$36</f>
        <v>0</v>
      </c>
      <c r="BK10" s="82">
        <f>'[2]Fuel Surcharge'!BK$36</f>
        <v>0</v>
      </c>
      <c r="BL10" s="82">
        <f>'[2]Fuel Surcharge'!BL$36</f>
        <v>0</v>
      </c>
      <c r="BM10" s="82">
        <f>'[2]Fuel Surcharge'!BM$36</f>
        <v>0</v>
      </c>
    </row>
    <row r="11" spans="2:65" x14ac:dyDescent="0.25">
      <c r="H11" s="80" t="s">
        <v>107</v>
      </c>
      <c r="I11" s="83">
        <f>'[1]Fuel Surcharge'!I$37</f>
        <v>0.29360000000000003</v>
      </c>
      <c r="J11" s="83">
        <f>'[1]Fuel Surcharge'!J$37</f>
        <v>0.29360000000000003</v>
      </c>
      <c r="K11" s="83">
        <f>'[1]Fuel Surcharge'!K$37</f>
        <v>0.29360000000000003</v>
      </c>
      <c r="L11" s="83">
        <f>'[1]Fuel Surcharge'!L$37</f>
        <v>0.29360000000000003</v>
      </c>
      <c r="M11" s="83">
        <f>'[1]Fuel Surcharge'!M$37</f>
        <v>0.29360000000000003</v>
      </c>
      <c r="N11" s="83">
        <f>'[1]Fuel Surcharge'!N$37</f>
        <v>0.29360000000000003</v>
      </c>
      <c r="O11" s="83">
        <f>'[1]Fuel Surcharge'!O$37</f>
        <v>0.29360000000000003</v>
      </c>
      <c r="P11" s="83">
        <f>'[1]Fuel Surcharge'!P$37</f>
        <v>0.29360000000000003</v>
      </c>
      <c r="Q11" s="83">
        <f>'[1]Fuel Surcharge'!Q$37</f>
        <v>0.29360000000000003</v>
      </c>
      <c r="R11" s="83">
        <f>'[1]Fuel Surcharge'!R$37</f>
        <v>0.29360000000000003</v>
      </c>
      <c r="S11" s="83">
        <f>'[1]Fuel Surcharge'!S$37</f>
        <v>0.29360000000000003</v>
      </c>
      <c r="T11" s="83">
        <f>'[1]Fuel Surcharge'!T$37</f>
        <v>0.29360000000000003</v>
      </c>
      <c r="U11" s="83">
        <f>'[1]Fuel Surcharge'!U$37</f>
        <v>0.29360000000000003</v>
      </c>
      <c r="V11" s="83">
        <f>'[1]Fuel Surcharge'!V$37</f>
        <v>0.29360000000000003</v>
      </c>
      <c r="W11" s="83">
        <f>'[2]Fuel Surcharge'!W$37</f>
        <v>0.29360000000000003</v>
      </c>
      <c r="X11" s="83">
        <f>'[2]Fuel Surcharge'!X$37</f>
        <v>0.29360000000000003</v>
      </c>
      <c r="Y11" s="83">
        <f>'[2]Fuel Surcharge'!Y$37</f>
        <v>0.29360000000000003</v>
      </c>
      <c r="Z11" s="83">
        <f>'[2]Fuel Surcharge'!Z$37</f>
        <v>0.29360000000000003</v>
      </c>
      <c r="AA11" s="83">
        <f>'[2]Fuel Surcharge'!AA$37</f>
        <v>0.29360000000000003</v>
      </c>
      <c r="AB11" s="83">
        <f>'[2]Fuel Surcharge'!AB$37</f>
        <v>0.29360000000000003</v>
      </c>
      <c r="AC11" s="83">
        <f>'[2]Fuel Surcharge'!AC$37</f>
        <v>0.29360000000000003</v>
      </c>
      <c r="AD11" s="83">
        <f>'[2]Fuel Surcharge'!AD$37</f>
        <v>0.29360000000000003</v>
      </c>
      <c r="AE11" s="83">
        <f>'[2]Fuel Surcharge'!AE$37</f>
        <v>0.29360000000000003</v>
      </c>
      <c r="AF11" s="83">
        <f>'[2]Fuel Surcharge'!AF$37</f>
        <v>0.29360000000000003</v>
      </c>
      <c r="AG11" s="83">
        <f>'[2]Fuel Surcharge'!AG$37</f>
        <v>0.29360000000000003</v>
      </c>
      <c r="AH11" s="83">
        <f>'[2]Fuel Surcharge'!AH$37</f>
        <v>0.29360000000000003</v>
      </c>
      <c r="AI11" s="83">
        <f>'[2]Fuel Surcharge'!AI$37</f>
        <v>0.29360000000000003</v>
      </c>
      <c r="AJ11" s="83">
        <f>'[2]Fuel Surcharge'!AJ$37</f>
        <v>0.29360000000000003</v>
      </c>
      <c r="AK11" s="83">
        <f>'[2]Fuel Surcharge'!AK$37</f>
        <v>0.29360000000000003</v>
      </c>
      <c r="AL11" s="83">
        <f>'[2]Fuel Surcharge'!AL$37</f>
        <v>0.29360000000000003</v>
      </c>
      <c r="AM11" s="83">
        <f>'[2]Fuel Surcharge'!AM$37</f>
        <v>0.29360000000000003</v>
      </c>
      <c r="AN11" s="83">
        <f>'[2]Fuel Surcharge'!AN$37</f>
        <v>0.29360000000000003</v>
      </c>
      <c r="AO11" s="83">
        <f>'[2]Fuel Surcharge'!AO$37</f>
        <v>0.29360000000000003</v>
      </c>
      <c r="AP11" s="83">
        <f>'[2]Fuel Surcharge'!AP$37</f>
        <v>0.29360000000000003</v>
      </c>
      <c r="AQ11" s="83">
        <f>'[2]Fuel Surcharge'!AQ$37</f>
        <v>0.29360000000000003</v>
      </c>
      <c r="AR11" s="83">
        <f>'[2]Fuel Surcharge'!AR$37</f>
        <v>0.29360000000000003</v>
      </c>
      <c r="AS11" s="83">
        <f>'[2]Fuel Surcharge'!AS$37</f>
        <v>0.29360000000000003</v>
      </c>
      <c r="AT11" s="83">
        <f>'[2]Fuel Surcharge'!AT$37</f>
        <v>0.29360000000000003</v>
      </c>
      <c r="AU11" s="83">
        <f>'[2]Fuel Surcharge'!AU$37</f>
        <v>0.29360000000000003</v>
      </c>
      <c r="AV11" s="83">
        <f>'[2]Fuel Surcharge'!AV$37</f>
        <v>0.29360000000000003</v>
      </c>
      <c r="AW11" s="83">
        <f>'[2]Fuel Surcharge'!AW$37</f>
        <v>0.29360000000000003</v>
      </c>
      <c r="AX11" s="83">
        <f>'[2]Fuel Surcharge'!AX$37</f>
        <v>0.29360000000000003</v>
      </c>
      <c r="AY11" s="83">
        <f>'[2]Fuel Surcharge'!AY$37</f>
        <v>0.29360000000000003</v>
      </c>
      <c r="AZ11" s="83">
        <f>'[2]Fuel Surcharge'!AZ$37</f>
        <v>0.29360000000000003</v>
      </c>
      <c r="BA11" s="83">
        <f>'[2]Fuel Surcharge'!BA$37</f>
        <v>0.29360000000000003</v>
      </c>
      <c r="BB11" s="83">
        <f>'[2]Fuel Surcharge'!BB$37</f>
        <v>0.29360000000000003</v>
      </c>
      <c r="BC11" s="83">
        <f>'[2]Fuel Surcharge'!BC$37</f>
        <v>0.29360000000000003</v>
      </c>
      <c r="BD11" s="83">
        <f>'[2]Fuel Surcharge'!BD$37</f>
        <v>0.29360000000000003</v>
      </c>
      <c r="BE11" s="83">
        <f>'[2]Fuel Surcharge'!BE$37</f>
        <v>0.29360000000000003</v>
      </c>
      <c r="BF11" s="83">
        <f>'[2]Fuel Surcharge'!BF$37</f>
        <v>0.29360000000000003</v>
      </c>
      <c r="BG11" s="83">
        <f>'[2]Fuel Surcharge'!BG$37</f>
        <v>0.29360000000000003</v>
      </c>
      <c r="BH11" s="83">
        <f>'[2]Fuel Surcharge'!BH$37</f>
        <v>0.29360000000000003</v>
      </c>
      <c r="BI11" s="83">
        <f>'[2]Fuel Surcharge'!BI$37</f>
        <v>0.29360000000000003</v>
      </c>
      <c r="BJ11" s="83">
        <f>'[2]Fuel Surcharge'!BJ$37</f>
        <v>0</v>
      </c>
      <c r="BK11" s="83">
        <f>'[2]Fuel Surcharge'!BK$37</f>
        <v>0</v>
      </c>
      <c r="BL11" s="83">
        <f>'[2]Fuel Surcharge'!BL$37</f>
        <v>0</v>
      </c>
      <c r="BM11" s="83">
        <f>'[2]Fuel Surcharge'!BM$37</f>
        <v>0</v>
      </c>
    </row>
    <row r="12" spans="2:65" ht="15.75" thickBot="1" x14ac:dyDescent="0.3">
      <c r="H12" s="84" t="s">
        <v>110</v>
      </c>
      <c r="I12" s="85">
        <f>((I9-I10)*I11)/I10</f>
        <v>0.13746352000000001</v>
      </c>
      <c r="J12" s="86">
        <f t="shared" ref="J12:BI12" si="2">((J9-J10)*J11)/J10</f>
        <v>0.14911943999999999</v>
      </c>
      <c r="K12" s="86">
        <f t="shared" si="2"/>
        <v>0.15384640000000002</v>
      </c>
      <c r="L12" s="86">
        <f t="shared" si="2"/>
        <v>0.15687048000000003</v>
      </c>
      <c r="M12" s="86">
        <f t="shared" si="2"/>
        <v>0.12718752</v>
      </c>
      <c r="N12" s="86">
        <f t="shared" si="2"/>
        <v>0.11033488000000005</v>
      </c>
      <c r="O12" s="87">
        <f t="shared" si="2"/>
        <v>0.13482111999999996</v>
      </c>
      <c r="P12" s="86">
        <f t="shared" si="2"/>
        <v>0.12196143999999999</v>
      </c>
      <c r="Q12" s="86">
        <f t="shared" si="2"/>
        <v>0.11520864000000003</v>
      </c>
      <c r="R12" s="86">
        <f t="shared" si="2"/>
        <v>0.12193208000000003</v>
      </c>
      <c r="S12" s="86">
        <f t="shared" si="2"/>
        <v>0.10088096000000006</v>
      </c>
      <c r="T12" s="86">
        <f t="shared" si="2"/>
        <v>0.10205535999999998</v>
      </c>
      <c r="U12" s="86">
        <f t="shared" si="2"/>
        <v>9.7093519999999989E-2</v>
      </c>
      <c r="V12" s="86">
        <f t="shared" si="2"/>
        <v>7.5778160000000011E-2</v>
      </c>
      <c r="W12" s="86">
        <f t="shared" si="2"/>
        <v>7.3400000000000007E-2</v>
      </c>
      <c r="X12" s="86">
        <f t="shared" si="2"/>
        <v>7.6336000000000001E-2</v>
      </c>
      <c r="Y12" s="86">
        <f t="shared" si="2"/>
        <v>9.0282000000000001E-2</v>
      </c>
      <c r="Z12" s="86">
        <f t="shared" si="2"/>
        <v>8.7933199999999975E-2</v>
      </c>
      <c r="AA12" s="86">
        <f t="shared" si="2"/>
        <v>0.11018808000000002</v>
      </c>
      <c r="AB12" s="86">
        <f t="shared" si="2"/>
        <v>0.13241359999999999</v>
      </c>
      <c r="AC12" s="86">
        <f t="shared" si="2"/>
        <v>0.13822688000000005</v>
      </c>
      <c r="AD12" s="86">
        <f t="shared" si="2"/>
        <v>0.12348816000000001</v>
      </c>
      <c r="AE12" s="86">
        <f t="shared" si="2"/>
        <v>0.13261911999999998</v>
      </c>
      <c r="AF12" s="86">
        <f t="shared" si="2"/>
        <v>0.14515584000000001</v>
      </c>
      <c r="AG12" s="86">
        <f t="shared" si="2"/>
        <v>0.13552576</v>
      </c>
      <c r="AH12" s="86">
        <f t="shared" si="2"/>
        <v>0.15845592000000003</v>
      </c>
      <c r="AI12" s="86">
        <f t="shared" si="2"/>
        <v>0.16846768000000001</v>
      </c>
      <c r="AJ12" s="86">
        <f t="shared" si="2"/>
        <v>0.19139784000000001</v>
      </c>
      <c r="AK12" s="86">
        <f t="shared" si="2"/>
        <v>0.1823256</v>
      </c>
      <c r="AL12" s="86">
        <f t="shared" si="2"/>
        <v>0.16412240000000003</v>
      </c>
      <c r="AM12" s="86">
        <f t="shared" si="2"/>
        <v>-0.29360000000000003</v>
      </c>
      <c r="AN12" s="86">
        <f t="shared" si="2"/>
        <v>-0.29360000000000003</v>
      </c>
      <c r="AO12" s="86">
        <f t="shared" si="2"/>
        <v>-0.29360000000000003</v>
      </c>
      <c r="AP12" s="86">
        <f t="shared" si="2"/>
        <v>-0.29360000000000003</v>
      </c>
      <c r="AQ12" s="86">
        <f t="shared" si="2"/>
        <v>-0.29360000000000003</v>
      </c>
      <c r="AR12" s="86">
        <f t="shared" si="2"/>
        <v>-0.29360000000000003</v>
      </c>
      <c r="AS12" s="86">
        <f t="shared" si="2"/>
        <v>-0.29360000000000003</v>
      </c>
      <c r="AT12" s="86">
        <f t="shared" si="2"/>
        <v>-0.29360000000000003</v>
      </c>
      <c r="AU12" s="86">
        <f t="shared" si="2"/>
        <v>-0.29360000000000003</v>
      </c>
      <c r="AV12" s="86">
        <f t="shared" si="2"/>
        <v>-0.29360000000000003</v>
      </c>
      <c r="AW12" s="86">
        <f t="shared" si="2"/>
        <v>-0.29360000000000003</v>
      </c>
      <c r="AX12" s="86">
        <f t="shared" si="2"/>
        <v>-0.29360000000000003</v>
      </c>
      <c r="AY12" s="86">
        <f t="shared" si="2"/>
        <v>-0.29360000000000003</v>
      </c>
      <c r="AZ12" s="86">
        <f t="shared" si="2"/>
        <v>-0.29360000000000003</v>
      </c>
      <c r="BA12" s="86">
        <f t="shared" si="2"/>
        <v>-0.29360000000000003</v>
      </c>
      <c r="BB12" s="86">
        <f t="shared" si="2"/>
        <v>-0.29360000000000003</v>
      </c>
      <c r="BC12" s="86">
        <f t="shared" si="2"/>
        <v>-0.29360000000000003</v>
      </c>
      <c r="BD12" s="86">
        <f t="shared" si="2"/>
        <v>-0.29360000000000003</v>
      </c>
      <c r="BE12" s="86">
        <f t="shared" si="2"/>
        <v>-0.29360000000000003</v>
      </c>
      <c r="BF12" s="86">
        <f t="shared" si="2"/>
        <v>-0.29360000000000003</v>
      </c>
      <c r="BG12" s="86">
        <f t="shared" si="2"/>
        <v>-0.29360000000000003</v>
      </c>
      <c r="BH12" s="86">
        <f t="shared" si="2"/>
        <v>-0.29360000000000003</v>
      </c>
      <c r="BI12" s="87">
        <f t="shared" si="2"/>
        <v>-0.29360000000000003</v>
      </c>
      <c r="BJ12" s="87" t="e">
        <f>((BJ9-BJ10)*BJ11)/BJ10</f>
        <v>#DIV/0!</v>
      </c>
      <c r="BK12" s="87" t="e">
        <f>((BK9-BK10)*BK11)/BK10</f>
        <v>#DIV/0!</v>
      </c>
      <c r="BL12" s="87" t="e">
        <f>((BL9-BL10)*BL11)/BL10</f>
        <v>#DIV/0!</v>
      </c>
      <c r="BM12" s="87" t="e">
        <f>((BM9-BM10)*BM11)/BM10</f>
        <v>#DIV/0!</v>
      </c>
    </row>
    <row r="13" spans="2:65" ht="15.75" hidden="1" thickBot="1" x14ac:dyDescent="0.3">
      <c r="H13" s="88" t="s">
        <v>80</v>
      </c>
      <c r="I13" s="89">
        <v>1</v>
      </c>
      <c r="J13" s="90">
        <v>2</v>
      </c>
      <c r="K13" s="90">
        <v>3</v>
      </c>
      <c r="L13" s="90">
        <v>4</v>
      </c>
      <c r="M13" s="90">
        <v>5</v>
      </c>
      <c r="N13" s="90">
        <v>6</v>
      </c>
      <c r="O13" s="90">
        <v>7</v>
      </c>
      <c r="P13" s="90">
        <v>8</v>
      </c>
      <c r="Q13" s="90">
        <v>9</v>
      </c>
      <c r="R13" s="90">
        <v>10</v>
      </c>
      <c r="S13" s="90">
        <v>11</v>
      </c>
      <c r="T13" s="90">
        <v>12</v>
      </c>
      <c r="U13" s="90">
        <v>13</v>
      </c>
      <c r="V13" s="90">
        <v>14</v>
      </c>
      <c r="W13" s="90">
        <v>15</v>
      </c>
      <c r="X13" s="90">
        <v>16</v>
      </c>
      <c r="Y13" s="90">
        <v>17</v>
      </c>
      <c r="Z13" s="90">
        <v>18</v>
      </c>
      <c r="AA13" s="90">
        <v>19</v>
      </c>
      <c r="AB13" s="90">
        <v>20</v>
      </c>
      <c r="AC13" s="90">
        <v>21</v>
      </c>
      <c r="AD13" s="90">
        <v>22</v>
      </c>
      <c r="AE13" s="90">
        <v>23</v>
      </c>
      <c r="AF13" s="90">
        <v>24</v>
      </c>
      <c r="AG13" s="90">
        <v>25</v>
      </c>
      <c r="AH13" s="90">
        <v>26</v>
      </c>
      <c r="AI13" s="90">
        <v>27</v>
      </c>
      <c r="AJ13" s="90">
        <v>28</v>
      </c>
      <c r="AK13" s="90">
        <v>29</v>
      </c>
      <c r="AL13" s="90">
        <v>30</v>
      </c>
      <c r="AM13" s="90">
        <v>31</v>
      </c>
      <c r="AN13" s="90">
        <v>32</v>
      </c>
      <c r="AO13" s="90">
        <v>33</v>
      </c>
      <c r="AP13" s="90">
        <v>34</v>
      </c>
      <c r="AQ13" s="90">
        <v>35</v>
      </c>
      <c r="AR13" s="90">
        <v>36</v>
      </c>
      <c r="AS13" s="90">
        <v>37</v>
      </c>
      <c r="AT13" s="90">
        <v>38</v>
      </c>
      <c r="AU13" s="90">
        <v>39</v>
      </c>
      <c r="AV13" s="90">
        <v>40</v>
      </c>
      <c r="AW13" s="90">
        <v>41</v>
      </c>
      <c r="AX13" s="90">
        <v>42</v>
      </c>
      <c r="AY13" s="90">
        <v>43</v>
      </c>
      <c r="AZ13" s="90">
        <v>44</v>
      </c>
      <c r="BA13" s="90">
        <v>45</v>
      </c>
      <c r="BB13" s="90">
        <v>46</v>
      </c>
      <c r="BC13" s="90">
        <v>47</v>
      </c>
      <c r="BD13" s="90">
        <v>48</v>
      </c>
      <c r="BE13" s="90">
        <v>49</v>
      </c>
      <c r="BF13" s="90">
        <v>50</v>
      </c>
      <c r="BG13" s="90">
        <v>51</v>
      </c>
      <c r="BH13" s="90">
        <v>52</v>
      </c>
      <c r="BI13" s="91">
        <v>53</v>
      </c>
      <c r="BJ13" s="91">
        <v>53</v>
      </c>
      <c r="BK13" s="91">
        <v>53</v>
      </c>
      <c r="BL13" s="91">
        <v>53</v>
      </c>
      <c r="BM13" s="91">
        <v>53</v>
      </c>
    </row>
    <row r="14" spans="2:65" ht="15.75" hidden="1" thickBot="1" x14ac:dyDescent="0.3">
      <c r="F14" s="136" t="s">
        <v>80</v>
      </c>
      <c r="G14" s="73">
        <v>1</v>
      </c>
      <c r="H14" s="92" t="s">
        <v>95</v>
      </c>
      <c r="I14" s="93" t="e">
        <v>#VALUE!</v>
      </c>
      <c r="J14" s="93" t="e">
        <v>#VALUE!</v>
      </c>
      <c r="K14" s="93" t="e">
        <v>#VALUE!</v>
      </c>
      <c r="L14" s="93" t="e">
        <v>#VALUE!</v>
      </c>
      <c r="M14" s="93" t="e">
        <v>#VALUE!</v>
      </c>
      <c r="N14" s="93" t="e">
        <v>#VALUE!</v>
      </c>
      <c r="O14" s="93" t="e">
        <v>#VALUE!</v>
      </c>
      <c r="P14" s="93" t="e">
        <v>#VALUE!</v>
      </c>
      <c r="Q14" s="93" t="e">
        <v>#VALUE!</v>
      </c>
      <c r="R14" s="93" t="e">
        <v>#VALUE!</v>
      </c>
      <c r="S14" s="93" t="e">
        <v>#VALUE!</v>
      </c>
      <c r="T14" s="93" t="e">
        <v>#VALUE!</v>
      </c>
      <c r="U14" s="93" t="e">
        <v>#VALUE!</v>
      </c>
      <c r="V14" s="93" t="e">
        <v>#VALUE!</v>
      </c>
      <c r="W14" s="93" t="e">
        <v>#VALUE!</v>
      </c>
      <c r="X14" s="93" t="e">
        <v>#VALUE!</v>
      </c>
      <c r="Y14" s="93" t="e">
        <v>#VALUE!</v>
      </c>
      <c r="Z14" s="93" t="e">
        <v>#VALUE!</v>
      </c>
      <c r="AA14" s="94" t="e">
        <v>#VALUE!</v>
      </c>
      <c r="AB14" s="94" t="e">
        <v>#VALUE!</v>
      </c>
      <c r="AC14" s="94" t="e">
        <v>#VALUE!</v>
      </c>
      <c r="AD14" s="94" t="e">
        <v>#VALUE!</v>
      </c>
      <c r="AE14" s="94" t="e">
        <v>#VALUE!</v>
      </c>
      <c r="AF14" s="94" t="e">
        <v>#VALUE!</v>
      </c>
      <c r="AG14" s="94" t="e">
        <v>#VALUE!</v>
      </c>
      <c r="AH14" s="94" t="e">
        <v>#VALUE!</v>
      </c>
      <c r="AI14" s="94" t="e">
        <v>#VALUE!</v>
      </c>
      <c r="AJ14" s="94" t="e">
        <v>#VALUE!</v>
      </c>
      <c r="AK14" s="94" t="e">
        <v>#VALUE!</v>
      </c>
      <c r="AL14" s="94" t="e">
        <v>#VALUE!</v>
      </c>
      <c r="AM14" s="94" t="e">
        <v>#VALUE!</v>
      </c>
      <c r="AN14" s="94" t="e">
        <v>#VALUE!</v>
      </c>
      <c r="AO14" s="94" t="e">
        <v>#VALUE!</v>
      </c>
      <c r="AP14" s="94" t="e">
        <v>#VALUE!</v>
      </c>
      <c r="AQ14" s="94" t="e">
        <v>#VALUE!</v>
      </c>
      <c r="AR14" s="94" t="e">
        <v>#VALUE!</v>
      </c>
      <c r="AS14" s="94" t="e">
        <v>#VALUE!</v>
      </c>
      <c r="AT14" s="94" t="e">
        <v>#VALUE!</v>
      </c>
      <c r="AU14" s="94" t="e">
        <v>#VALUE!</v>
      </c>
      <c r="AV14" s="94" t="e">
        <v>#VALUE!</v>
      </c>
      <c r="AW14" s="94" t="e">
        <v>#VALUE!</v>
      </c>
      <c r="AX14" s="94" t="e">
        <v>#VALUE!</v>
      </c>
      <c r="AY14" s="94" t="e">
        <v>#VALUE!</v>
      </c>
      <c r="AZ14" s="94" t="e">
        <v>#VALUE!</v>
      </c>
      <c r="BA14" s="94" t="e">
        <v>#VALUE!</v>
      </c>
      <c r="BB14" s="94" t="e">
        <v>#VALUE!</v>
      </c>
      <c r="BC14" s="94" t="e">
        <v>#VALUE!</v>
      </c>
      <c r="BD14" s="94" t="e">
        <v>#VALUE!</v>
      </c>
      <c r="BE14" s="94" t="e">
        <v>#VALUE!</v>
      </c>
      <c r="BF14" s="94" t="e">
        <v>#VALUE!</v>
      </c>
      <c r="BG14" s="94" t="e">
        <v>#VALUE!</v>
      </c>
      <c r="BH14" s="94" t="e">
        <v>#VALUE!</v>
      </c>
      <c r="BI14" s="95" t="e">
        <v>#VALUE!</v>
      </c>
      <c r="BJ14" s="95" t="e">
        <v>#VALUE!</v>
      </c>
      <c r="BK14" s="95" t="e">
        <v>#VALUE!</v>
      </c>
      <c r="BL14" s="95" t="e">
        <v>#VALUE!</v>
      </c>
      <c r="BM14" s="95" t="e">
        <v>#VALUE!</v>
      </c>
    </row>
    <row r="15" spans="2:65" hidden="1" x14ac:dyDescent="0.25">
      <c r="F15" s="137" t="s">
        <v>81</v>
      </c>
      <c r="G15" s="75">
        <v>0</v>
      </c>
      <c r="H15" s="96" t="s">
        <v>114</v>
      </c>
      <c r="I15" s="97" t="e">
        <v>#VALUE!</v>
      </c>
      <c r="J15" s="98" t="e">
        <v>#VALUE!</v>
      </c>
      <c r="K15" s="98" t="e">
        <v>#VALUE!</v>
      </c>
      <c r="L15" s="98" t="e">
        <v>#VALUE!</v>
      </c>
      <c r="M15" s="98" t="e">
        <v>#VALUE!</v>
      </c>
      <c r="N15" s="98" t="e">
        <v>#VALUE!</v>
      </c>
      <c r="O15" s="98" t="e">
        <v>#VALUE!</v>
      </c>
      <c r="P15" s="98" t="e">
        <v>#VALUE!</v>
      </c>
      <c r="Q15" s="98" t="e">
        <v>#VALUE!</v>
      </c>
      <c r="R15" s="98" t="e">
        <v>#VALUE!</v>
      </c>
      <c r="S15" s="98" t="e">
        <v>#VALUE!</v>
      </c>
      <c r="T15" s="98" t="e">
        <v>#VALUE!</v>
      </c>
      <c r="U15" s="98" t="e">
        <v>#VALUE!</v>
      </c>
      <c r="V15" s="98" t="e">
        <v>#VALUE!</v>
      </c>
      <c r="W15" s="98" t="e">
        <v>#VALUE!</v>
      </c>
      <c r="X15" s="98" t="e">
        <v>#VALUE!</v>
      </c>
      <c r="Y15" s="98" t="e">
        <v>#VALUE!</v>
      </c>
      <c r="Z15" s="98" t="e">
        <v>#VALUE!</v>
      </c>
      <c r="AA15" s="98" t="e">
        <v>#VALUE!</v>
      </c>
      <c r="AB15" s="98" t="e">
        <v>#VALUE!</v>
      </c>
      <c r="AC15" s="98" t="e">
        <v>#VALUE!</v>
      </c>
      <c r="AD15" s="98" t="e">
        <v>#VALUE!</v>
      </c>
      <c r="AE15" s="98" t="e">
        <v>#VALUE!</v>
      </c>
      <c r="AF15" s="98" t="e">
        <v>#VALUE!</v>
      </c>
      <c r="AG15" s="98" t="e">
        <v>#VALUE!</v>
      </c>
      <c r="AH15" s="98" t="e">
        <v>#VALUE!</v>
      </c>
      <c r="AI15" s="98" t="e">
        <v>#VALUE!</v>
      </c>
      <c r="AJ15" s="98" t="e">
        <v>#VALUE!</v>
      </c>
      <c r="AK15" s="98" t="e">
        <v>#VALUE!</v>
      </c>
      <c r="AL15" s="98" t="e">
        <v>#VALUE!</v>
      </c>
      <c r="AM15" s="98" t="e">
        <v>#VALUE!</v>
      </c>
      <c r="AN15" s="98" t="e">
        <v>#VALUE!</v>
      </c>
      <c r="AO15" s="98" t="e">
        <v>#VALUE!</v>
      </c>
      <c r="AP15" s="98" t="e">
        <v>#VALUE!</v>
      </c>
      <c r="AQ15" s="98" t="e">
        <v>#VALUE!</v>
      </c>
      <c r="AR15" s="98" t="e">
        <v>#VALUE!</v>
      </c>
      <c r="AS15" s="98" t="e">
        <v>#VALUE!</v>
      </c>
      <c r="AT15" s="98" t="e">
        <v>#VALUE!</v>
      </c>
      <c r="AU15" s="98" t="e">
        <v>#VALUE!</v>
      </c>
      <c r="AV15" s="98" t="e">
        <v>#VALUE!</v>
      </c>
      <c r="AW15" s="98" t="e">
        <v>#VALUE!</v>
      </c>
      <c r="AX15" s="98" t="e">
        <v>#VALUE!</v>
      </c>
      <c r="AY15" s="98" t="e">
        <v>#VALUE!</v>
      </c>
      <c r="AZ15" s="98" t="e">
        <v>#VALUE!</v>
      </c>
      <c r="BA15" s="98" t="e">
        <v>#VALUE!</v>
      </c>
      <c r="BB15" s="98" t="e">
        <v>#VALUE!</v>
      </c>
      <c r="BC15" s="98" t="e">
        <v>#VALUE!</v>
      </c>
      <c r="BD15" s="98" t="e">
        <v>#VALUE!</v>
      </c>
      <c r="BE15" s="98" t="e">
        <v>#VALUE!</v>
      </c>
      <c r="BF15" s="98" t="e">
        <v>#VALUE!</v>
      </c>
      <c r="BG15" s="98" t="e">
        <v>#VALUE!</v>
      </c>
      <c r="BH15" s="98" t="e">
        <v>#VALUE!</v>
      </c>
      <c r="BI15" s="99" t="e">
        <v>#VALUE!</v>
      </c>
      <c r="BJ15" s="99" t="e">
        <v>#VALUE!</v>
      </c>
      <c r="BK15" s="99" t="e">
        <v>#VALUE!</v>
      </c>
      <c r="BL15" s="99" t="e">
        <v>#VALUE!</v>
      </c>
      <c r="BM15" s="99" t="e">
        <v>#VALUE!</v>
      </c>
    </row>
    <row r="16" spans="2:65" hidden="1" x14ac:dyDescent="0.25">
      <c r="F16" s="138" t="s">
        <v>82</v>
      </c>
      <c r="G16" s="5">
        <v>0</v>
      </c>
      <c r="H16" s="80" t="s">
        <v>110</v>
      </c>
      <c r="I16" s="100" t="e">
        <f t="shared" ref="I16:AN16" si="3">SUM(I$14+I$15)*I$12</f>
        <v>#VALUE!</v>
      </c>
      <c r="J16" s="101" t="e">
        <f t="shared" si="3"/>
        <v>#VALUE!</v>
      </c>
      <c r="K16" s="101" t="e">
        <f t="shared" si="3"/>
        <v>#VALUE!</v>
      </c>
      <c r="L16" s="101" t="e">
        <f t="shared" si="3"/>
        <v>#VALUE!</v>
      </c>
      <c r="M16" s="101" t="e">
        <f t="shared" si="3"/>
        <v>#VALUE!</v>
      </c>
      <c r="N16" s="101" t="e">
        <f t="shared" si="3"/>
        <v>#VALUE!</v>
      </c>
      <c r="O16" s="101" t="e">
        <f t="shared" si="3"/>
        <v>#VALUE!</v>
      </c>
      <c r="P16" s="101" t="e">
        <f t="shared" si="3"/>
        <v>#VALUE!</v>
      </c>
      <c r="Q16" s="101" t="e">
        <f t="shared" si="3"/>
        <v>#VALUE!</v>
      </c>
      <c r="R16" s="101" t="e">
        <f t="shared" si="3"/>
        <v>#VALUE!</v>
      </c>
      <c r="S16" s="101" t="e">
        <f t="shared" si="3"/>
        <v>#VALUE!</v>
      </c>
      <c r="T16" s="101" t="e">
        <f t="shared" si="3"/>
        <v>#VALUE!</v>
      </c>
      <c r="U16" s="101" t="e">
        <f t="shared" si="3"/>
        <v>#VALUE!</v>
      </c>
      <c r="V16" s="101" t="e">
        <f t="shared" si="3"/>
        <v>#VALUE!</v>
      </c>
      <c r="W16" s="101" t="e">
        <f t="shared" si="3"/>
        <v>#VALUE!</v>
      </c>
      <c r="X16" s="101" t="e">
        <f t="shared" si="3"/>
        <v>#VALUE!</v>
      </c>
      <c r="Y16" s="101" t="e">
        <f t="shared" si="3"/>
        <v>#VALUE!</v>
      </c>
      <c r="Z16" s="101" t="e">
        <f t="shared" si="3"/>
        <v>#VALUE!</v>
      </c>
      <c r="AA16" s="101" t="e">
        <f t="shared" si="3"/>
        <v>#VALUE!</v>
      </c>
      <c r="AB16" s="101" t="e">
        <f t="shared" si="3"/>
        <v>#VALUE!</v>
      </c>
      <c r="AC16" s="101" t="e">
        <f t="shared" si="3"/>
        <v>#VALUE!</v>
      </c>
      <c r="AD16" s="101" t="e">
        <f t="shared" si="3"/>
        <v>#VALUE!</v>
      </c>
      <c r="AE16" s="101" t="e">
        <f t="shared" si="3"/>
        <v>#VALUE!</v>
      </c>
      <c r="AF16" s="101" t="e">
        <f t="shared" si="3"/>
        <v>#VALUE!</v>
      </c>
      <c r="AG16" s="101" t="e">
        <f t="shared" si="3"/>
        <v>#VALUE!</v>
      </c>
      <c r="AH16" s="101" t="e">
        <f t="shared" si="3"/>
        <v>#VALUE!</v>
      </c>
      <c r="AI16" s="101" t="e">
        <f t="shared" si="3"/>
        <v>#VALUE!</v>
      </c>
      <c r="AJ16" s="101" t="e">
        <f t="shared" si="3"/>
        <v>#VALUE!</v>
      </c>
      <c r="AK16" s="101" t="e">
        <f t="shared" si="3"/>
        <v>#VALUE!</v>
      </c>
      <c r="AL16" s="101" t="e">
        <f t="shared" si="3"/>
        <v>#VALUE!</v>
      </c>
      <c r="AM16" s="101" t="e">
        <f t="shared" si="3"/>
        <v>#VALUE!</v>
      </c>
      <c r="AN16" s="101" t="e">
        <f t="shared" si="3"/>
        <v>#VALUE!</v>
      </c>
      <c r="AO16" s="101" t="e">
        <f t="shared" ref="AO16:BM16" si="4">SUM(AO$14+AO$15)*AO$12</f>
        <v>#VALUE!</v>
      </c>
      <c r="AP16" s="101" t="e">
        <f t="shared" si="4"/>
        <v>#VALUE!</v>
      </c>
      <c r="AQ16" s="101" t="e">
        <f t="shared" si="4"/>
        <v>#VALUE!</v>
      </c>
      <c r="AR16" s="101" t="e">
        <f t="shared" si="4"/>
        <v>#VALUE!</v>
      </c>
      <c r="AS16" s="101" t="e">
        <f t="shared" si="4"/>
        <v>#VALUE!</v>
      </c>
      <c r="AT16" s="101" t="e">
        <f t="shared" si="4"/>
        <v>#VALUE!</v>
      </c>
      <c r="AU16" s="101" t="e">
        <f t="shared" si="4"/>
        <v>#VALUE!</v>
      </c>
      <c r="AV16" s="101" t="e">
        <f t="shared" si="4"/>
        <v>#VALUE!</v>
      </c>
      <c r="AW16" s="101" t="e">
        <f t="shared" si="4"/>
        <v>#VALUE!</v>
      </c>
      <c r="AX16" s="101" t="e">
        <f t="shared" si="4"/>
        <v>#VALUE!</v>
      </c>
      <c r="AY16" s="101" t="e">
        <f t="shared" si="4"/>
        <v>#VALUE!</v>
      </c>
      <c r="AZ16" s="101" t="e">
        <f t="shared" si="4"/>
        <v>#VALUE!</v>
      </c>
      <c r="BA16" s="101" t="e">
        <f t="shared" si="4"/>
        <v>#VALUE!</v>
      </c>
      <c r="BB16" s="101" t="e">
        <f t="shared" si="4"/>
        <v>#VALUE!</v>
      </c>
      <c r="BC16" s="101" t="e">
        <f t="shared" si="4"/>
        <v>#VALUE!</v>
      </c>
      <c r="BD16" s="101" t="e">
        <f t="shared" si="4"/>
        <v>#VALUE!</v>
      </c>
      <c r="BE16" s="101" t="e">
        <f t="shared" si="4"/>
        <v>#VALUE!</v>
      </c>
      <c r="BF16" s="101" t="e">
        <f t="shared" si="4"/>
        <v>#VALUE!</v>
      </c>
      <c r="BG16" s="101" t="e">
        <f t="shared" si="4"/>
        <v>#VALUE!</v>
      </c>
      <c r="BH16" s="101" t="e">
        <f t="shared" si="4"/>
        <v>#VALUE!</v>
      </c>
      <c r="BI16" s="102" t="e">
        <f t="shared" si="4"/>
        <v>#VALUE!</v>
      </c>
      <c r="BJ16" s="102" t="e">
        <f t="shared" si="4"/>
        <v>#VALUE!</v>
      </c>
      <c r="BK16" s="102" t="e">
        <f t="shared" si="4"/>
        <v>#VALUE!</v>
      </c>
      <c r="BL16" s="102" t="e">
        <f t="shared" si="4"/>
        <v>#VALUE!</v>
      </c>
      <c r="BM16" s="102" t="e">
        <f t="shared" si="4"/>
        <v>#VALUE!</v>
      </c>
    </row>
    <row r="17" spans="6:65" ht="15.75" hidden="1" thickBot="1" x14ac:dyDescent="0.3">
      <c r="F17" s="138" t="s">
        <v>83</v>
      </c>
      <c r="G17" s="5">
        <v>0</v>
      </c>
      <c r="H17" s="84" t="s">
        <v>118</v>
      </c>
      <c r="I17" s="103" t="e">
        <f>SUM(I14:I16)</f>
        <v>#VALUE!</v>
      </c>
      <c r="J17" s="104" t="e">
        <f t="shared" ref="J17:BI17" si="5">SUM(J14:J16)</f>
        <v>#VALUE!</v>
      </c>
      <c r="K17" s="104" t="e">
        <f t="shared" si="5"/>
        <v>#VALUE!</v>
      </c>
      <c r="L17" s="104" t="e">
        <f t="shared" si="5"/>
        <v>#VALUE!</v>
      </c>
      <c r="M17" s="104" t="e">
        <f t="shared" si="5"/>
        <v>#VALUE!</v>
      </c>
      <c r="N17" s="104" t="e">
        <f t="shared" si="5"/>
        <v>#VALUE!</v>
      </c>
      <c r="O17" s="104" t="e">
        <f t="shared" si="5"/>
        <v>#VALUE!</v>
      </c>
      <c r="P17" s="104" t="e">
        <f t="shared" si="5"/>
        <v>#VALUE!</v>
      </c>
      <c r="Q17" s="104" t="e">
        <f t="shared" si="5"/>
        <v>#VALUE!</v>
      </c>
      <c r="R17" s="104" t="e">
        <f t="shared" si="5"/>
        <v>#VALUE!</v>
      </c>
      <c r="S17" s="104" t="e">
        <f t="shared" si="5"/>
        <v>#VALUE!</v>
      </c>
      <c r="T17" s="104" t="e">
        <f t="shared" si="5"/>
        <v>#VALUE!</v>
      </c>
      <c r="U17" s="104" t="e">
        <f t="shared" si="5"/>
        <v>#VALUE!</v>
      </c>
      <c r="V17" s="104" t="e">
        <f t="shared" si="5"/>
        <v>#VALUE!</v>
      </c>
      <c r="W17" s="104" t="e">
        <f t="shared" si="5"/>
        <v>#VALUE!</v>
      </c>
      <c r="X17" s="104" t="e">
        <f t="shared" si="5"/>
        <v>#VALUE!</v>
      </c>
      <c r="Y17" s="104" t="e">
        <f t="shared" si="5"/>
        <v>#VALUE!</v>
      </c>
      <c r="Z17" s="104" t="e">
        <f t="shared" si="5"/>
        <v>#VALUE!</v>
      </c>
      <c r="AA17" s="104" t="e">
        <f t="shared" si="5"/>
        <v>#VALUE!</v>
      </c>
      <c r="AB17" s="104" t="e">
        <f t="shared" si="5"/>
        <v>#VALUE!</v>
      </c>
      <c r="AC17" s="104" t="e">
        <f t="shared" si="5"/>
        <v>#VALUE!</v>
      </c>
      <c r="AD17" s="104" t="e">
        <f t="shared" si="5"/>
        <v>#VALUE!</v>
      </c>
      <c r="AE17" s="104" t="e">
        <f t="shared" si="5"/>
        <v>#VALUE!</v>
      </c>
      <c r="AF17" s="104" t="e">
        <f t="shared" si="5"/>
        <v>#VALUE!</v>
      </c>
      <c r="AG17" s="104" t="e">
        <f t="shared" si="5"/>
        <v>#VALUE!</v>
      </c>
      <c r="AH17" s="104" t="e">
        <f t="shared" si="5"/>
        <v>#VALUE!</v>
      </c>
      <c r="AI17" s="104" t="e">
        <f t="shared" si="5"/>
        <v>#VALUE!</v>
      </c>
      <c r="AJ17" s="104" t="e">
        <f t="shared" si="5"/>
        <v>#VALUE!</v>
      </c>
      <c r="AK17" s="104" t="e">
        <f t="shared" si="5"/>
        <v>#VALUE!</v>
      </c>
      <c r="AL17" s="104" t="e">
        <f t="shared" si="5"/>
        <v>#VALUE!</v>
      </c>
      <c r="AM17" s="105" t="e">
        <f t="shared" si="5"/>
        <v>#VALUE!</v>
      </c>
      <c r="AN17" s="106" t="e">
        <f t="shared" si="5"/>
        <v>#VALUE!</v>
      </c>
      <c r="AO17" s="107" t="e">
        <f t="shared" si="5"/>
        <v>#VALUE!</v>
      </c>
      <c r="AP17" s="107" t="e">
        <f t="shared" si="5"/>
        <v>#VALUE!</v>
      </c>
      <c r="AQ17" s="107" t="e">
        <f t="shared" si="5"/>
        <v>#VALUE!</v>
      </c>
      <c r="AR17" s="107" t="e">
        <f t="shared" si="5"/>
        <v>#VALUE!</v>
      </c>
      <c r="AS17" s="106" t="e">
        <f t="shared" si="5"/>
        <v>#VALUE!</v>
      </c>
      <c r="AT17" s="104" t="e">
        <f t="shared" si="5"/>
        <v>#VALUE!</v>
      </c>
      <c r="AU17" s="104" t="e">
        <f t="shared" si="5"/>
        <v>#VALUE!</v>
      </c>
      <c r="AV17" s="104" t="e">
        <f t="shared" si="5"/>
        <v>#VALUE!</v>
      </c>
      <c r="AW17" s="104" t="e">
        <f t="shared" si="5"/>
        <v>#VALUE!</v>
      </c>
      <c r="AX17" s="104" t="e">
        <f t="shared" si="5"/>
        <v>#VALUE!</v>
      </c>
      <c r="AY17" s="104" t="e">
        <f t="shared" si="5"/>
        <v>#VALUE!</v>
      </c>
      <c r="AZ17" s="104" t="e">
        <f t="shared" si="5"/>
        <v>#VALUE!</v>
      </c>
      <c r="BA17" s="104" t="e">
        <f t="shared" si="5"/>
        <v>#VALUE!</v>
      </c>
      <c r="BB17" s="104" t="e">
        <f t="shared" si="5"/>
        <v>#VALUE!</v>
      </c>
      <c r="BC17" s="104" t="e">
        <f t="shared" si="5"/>
        <v>#VALUE!</v>
      </c>
      <c r="BD17" s="104" t="e">
        <f t="shared" si="5"/>
        <v>#VALUE!</v>
      </c>
      <c r="BE17" s="104" t="e">
        <f t="shared" si="5"/>
        <v>#VALUE!</v>
      </c>
      <c r="BF17" s="104" t="e">
        <f t="shared" si="5"/>
        <v>#VALUE!</v>
      </c>
      <c r="BG17" s="104" t="e">
        <f t="shared" si="5"/>
        <v>#VALUE!</v>
      </c>
      <c r="BH17" s="104" t="e">
        <f t="shared" si="5"/>
        <v>#VALUE!</v>
      </c>
      <c r="BI17" s="108" t="e">
        <f t="shared" si="5"/>
        <v>#VALUE!</v>
      </c>
      <c r="BJ17" s="108" t="e">
        <f>SUM(BJ14:BJ16)</f>
        <v>#VALUE!</v>
      </c>
      <c r="BK17" s="108" t="e">
        <f>SUM(BK14:BK16)</f>
        <v>#VALUE!</v>
      </c>
      <c r="BL17" s="108" t="e">
        <f>SUM(BL14:BL16)</f>
        <v>#VALUE!</v>
      </c>
      <c r="BM17" s="108" t="e">
        <f>SUM(BM14:BM16)</f>
        <v>#VALUE!</v>
      </c>
    </row>
    <row r="18" spans="6:65" hidden="1" x14ac:dyDescent="0.25">
      <c r="F18" s="138" t="s">
        <v>84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</row>
    <row r="19" spans="6:65" hidden="1" x14ac:dyDescent="0.25">
      <c r="F19" s="138" t="s">
        <v>85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</row>
    <row r="20" spans="6:65" hidden="1" x14ac:dyDescent="0.25">
      <c r="F20" s="138" t="s">
        <v>86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</row>
    <row r="21" spans="6:65" hidden="1" x14ac:dyDescent="0.25">
      <c r="F21" s="138" t="s">
        <v>87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</row>
    <row r="22" spans="6:65" hidden="1" x14ac:dyDescent="0.25">
      <c r="F22" s="138" t="s">
        <v>88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</row>
    <row r="23" spans="6:65" hidden="1" x14ac:dyDescent="0.25">
      <c r="F23" s="138" t="s">
        <v>89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</row>
    <row r="24" spans="6:65" hidden="1" x14ac:dyDescent="0.25">
      <c r="F24" s="138" t="s">
        <v>90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</row>
    <row r="25" spans="6:65" hidden="1" x14ac:dyDescent="0.25">
      <c r="F25" s="138" t="s">
        <v>91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</row>
    <row r="26" spans="6:65" hidden="1" x14ac:dyDescent="0.25">
      <c r="F26" s="138" t="s">
        <v>92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</row>
    <row r="27" spans="6:65" hidden="1" x14ac:dyDescent="0.25">
      <c r="F27" s="138" t="s">
        <v>93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</row>
    <row r="28" spans="6:65" hidden="1" x14ac:dyDescent="0.25">
      <c r="F28" s="138" t="s">
        <v>78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</row>
    <row r="29" spans="6:65" hidden="1" x14ac:dyDescent="0.25">
      <c r="F29" s="138" t="s">
        <v>79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72">
        <f t="shared" ref="AL29:BG29" si="6">AL$6</f>
        <v>0.16412240000000003</v>
      </c>
      <c r="AM29" s="72">
        <f t="shared" si="6"/>
        <v>-0.29360000000000003</v>
      </c>
      <c r="AN29" s="72">
        <f t="shared" si="6"/>
        <v>-0.29360000000000003</v>
      </c>
      <c r="AO29" s="72">
        <f t="shared" si="6"/>
        <v>-0.29360000000000003</v>
      </c>
      <c r="AP29" s="72">
        <f t="shared" si="6"/>
        <v>-0.29360000000000003</v>
      </c>
      <c r="AQ29" s="72">
        <f t="shared" si="6"/>
        <v>-0.29360000000000003</v>
      </c>
      <c r="AR29" s="72">
        <f t="shared" si="6"/>
        <v>-0.29360000000000003</v>
      </c>
      <c r="AS29" s="72">
        <f t="shared" si="6"/>
        <v>-0.29360000000000003</v>
      </c>
      <c r="AT29" s="72">
        <f t="shared" si="6"/>
        <v>-0.29360000000000003</v>
      </c>
      <c r="AU29" s="72">
        <f t="shared" si="6"/>
        <v>-0.29360000000000003</v>
      </c>
      <c r="AV29" s="72">
        <f t="shared" si="6"/>
        <v>-0.29360000000000003</v>
      </c>
      <c r="AW29" s="72">
        <f t="shared" si="6"/>
        <v>-0.29360000000000003</v>
      </c>
      <c r="AX29" s="72">
        <f t="shared" si="6"/>
        <v>-0.29360000000000003</v>
      </c>
      <c r="AY29" s="72">
        <f t="shared" si="6"/>
        <v>-0.29360000000000003</v>
      </c>
      <c r="AZ29" s="72">
        <f t="shared" si="6"/>
        <v>-0.29360000000000003</v>
      </c>
      <c r="BA29" s="72">
        <f t="shared" si="6"/>
        <v>-0.29360000000000003</v>
      </c>
      <c r="BB29" s="72">
        <f t="shared" si="6"/>
        <v>-0.29360000000000003</v>
      </c>
      <c r="BC29" s="72">
        <f t="shared" si="6"/>
        <v>-0.29360000000000003</v>
      </c>
      <c r="BD29" s="72">
        <f t="shared" si="6"/>
        <v>-0.29360000000000003</v>
      </c>
      <c r="BE29" s="72">
        <f t="shared" si="6"/>
        <v>-0.29360000000000003</v>
      </c>
      <c r="BF29" s="72">
        <f t="shared" si="6"/>
        <v>-0.29360000000000003</v>
      </c>
      <c r="BG29" s="72">
        <f t="shared" si="6"/>
        <v>-0.29360000000000003</v>
      </c>
    </row>
    <row r="30" spans="6:65" hidden="1" x14ac:dyDescent="0.25">
      <c r="F30" s="138" t="s">
        <v>94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</row>
    <row r="31" spans="6:65" hidden="1" x14ac:dyDescent="0.25"/>
    <row r="33" spans="2:66" x14ac:dyDescent="0.25">
      <c r="B33" s="76" t="s">
        <v>95</v>
      </c>
    </row>
    <row r="34" spans="2:66" x14ac:dyDescent="0.25">
      <c r="B34" s="77" t="s">
        <v>96</v>
      </c>
      <c r="C34" s="77" t="s">
        <v>97</v>
      </c>
      <c r="D34" s="77" t="s">
        <v>98</v>
      </c>
      <c r="E34" s="77" t="s">
        <v>99</v>
      </c>
      <c r="F34" s="138" t="s">
        <v>100</v>
      </c>
      <c r="H34" s="132" t="s">
        <v>181</v>
      </c>
      <c r="I34">
        <v>1</v>
      </c>
      <c r="J34">
        <v>2</v>
      </c>
      <c r="K34">
        <v>3</v>
      </c>
      <c r="L34">
        <v>4</v>
      </c>
      <c r="M34">
        <v>5</v>
      </c>
      <c r="N34">
        <v>6</v>
      </c>
      <c r="O34">
        <v>7</v>
      </c>
      <c r="P34">
        <v>8</v>
      </c>
      <c r="Q34">
        <v>9</v>
      </c>
      <c r="R34">
        <v>10</v>
      </c>
      <c r="S34">
        <v>11</v>
      </c>
      <c r="T34">
        <v>12</v>
      </c>
      <c r="U34">
        <v>13</v>
      </c>
      <c r="V34">
        <v>14</v>
      </c>
      <c r="W34">
        <v>15</v>
      </c>
      <c r="X34">
        <v>16</v>
      </c>
      <c r="Y34">
        <v>17</v>
      </c>
      <c r="Z34">
        <v>18</v>
      </c>
      <c r="AA34">
        <v>19</v>
      </c>
      <c r="AB34">
        <v>20</v>
      </c>
      <c r="AC34">
        <v>21</v>
      </c>
      <c r="AD34">
        <v>22</v>
      </c>
      <c r="AE34">
        <v>23</v>
      </c>
      <c r="AF34">
        <v>24</v>
      </c>
      <c r="AG34">
        <v>25</v>
      </c>
      <c r="AH34">
        <v>26</v>
      </c>
      <c r="AI34">
        <v>27</v>
      </c>
      <c r="AJ34">
        <v>28</v>
      </c>
      <c r="AK34">
        <v>29</v>
      </c>
      <c r="AL34">
        <v>30</v>
      </c>
      <c r="AM34">
        <v>31</v>
      </c>
      <c r="AN34">
        <v>32</v>
      </c>
      <c r="AO34">
        <v>33</v>
      </c>
      <c r="AP34">
        <v>34</v>
      </c>
      <c r="AQ34">
        <v>35</v>
      </c>
      <c r="AR34">
        <v>36</v>
      </c>
      <c r="AS34">
        <v>37</v>
      </c>
      <c r="AT34">
        <v>38</v>
      </c>
      <c r="AU34">
        <v>39</v>
      </c>
      <c r="AV34">
        <v>40</v>
      </c>
      <c r="AW34">
        <v>41</v>
      </c>
      <c r="AX34">
        <v>42</v>
      </c>
      <c r="AY34">
        <v>43</v>
      </c>
      <c r="AZ34">
        <v>44</v>
      </c>
      <c r="BA34">
        <v>45</v>
      </c>
      <c r="BB34">
        <v>46</v>
      </c>
      <c r="BC34">
        <v>47</v>
      </c>
      <c r="BD34">
        <v>48</v>
      </c>
      <c r="BE34">
        <v>49</v>
      </c>
      <c r="BF34">
        <v>50</v>
      </c>
      <c r="BG34">
        <v>51</v>
      </c>
      <c r="BH34">
        <v>52</v>
      </c>
      <c r="BI34">
        <v>53</v>
      </c>
      <c r="BJ34">
        <v>54</v>
      </c>
      <c r="BK34">
        <v>55</v>
      </c>
      <c r="BL34">
        <v>56</v>
      </c>
      <c r="BM34">
        <v>57</v>
      </c>
      <c r="BN34">
        <v>58</v>
      </c>
    </row>
    <row r="35" spans="2:66" x14ac:dyDescent="0.25">
      <c r="B35" s="156" t="s">
        <v>32</v>
      </c>
      <c r="C35" s="5" t="s">
        <v>176</v>
      </c>
      <c r="D35" s="5" t="s">
        <v>79</v>
      </c>
      <c r="E35" s="5" t="s">
        <v>32</v>
      </c>
      <c r="F35" s="159">
        <v>150.19999999999999</v>
      </c>
      <c r="H35" s="5" t="s">
        <v>32</v>
      </c>
      <c r="I35" s="66">
        <f>($F35*$I$12)+$F35</f>
        <v>170.84702070399999</v>
      </c>
      <c r="J35" s="66">
        <f>($F35*J$12)+$F35</f>
        <v>172.59773988799998</v>
      </c>
      <c r="K35" s="66">
        <f>($F35*K$12)+$F35</f>
        <v>173.30772927999999</v>
      </c>
      <c r="L35" s="66">
        <f t="shared" ref="L35:BM44" si="7">($F35*L$12)+$F35</f>
        <v>173.761946096</v>
      </c>
      <c r="M35" s="66">
        <f t="shared" si="7"/>
        <v>169.30356550399998</v>
      </c>
      <c r="N35" s="66">
        <f t="shared" si="7"/>
        <v>166.772298976</v>
      </c>
      <c r="O35" s="66">
        <f t="shared" si="7"/>
        <v>170.45013222399999</v>
      </c>
      <c r="P35" s="66">
        <f t="shared" si="7"/>
        <v>168.518608288</v>
      </c>
      <c r="Q35" s="66">
        <f t="shared" si="7"/>
        <v>167.504337728</v>
      </c>
      <c r="R35" s="66">
        <f t="shared" si="7"/>
        <v>168.514198416</v>
      </c>
      <c r="S35" s="66">
        <f t="shared" si="7"/>
        <v>165.35232019200001</v>
      </c>
      <c r="T35" s="66">
        <f t="shared" si="7"/>
        <v>165.52871507199998</v>
      </c>
      <c r="U35" s="66">
        <f t="shared" si="7"/>
        <v>164.78344670399997</v>
      </c>
      <c r="V35" s="66">
        <f t="shared" si="7"/>
        <v>161.58187963199998</v>
      </c>
      <c r="W35" s="66">
        <f t="shared" si="7"/>
        <v>161.22467999999998</v>
      </c>
      <c r="X35" s="66">
        <f t="shared" si="7"/>
        <v>161.66566719999997</v>
      </c>
      <c r="Y35" s="66">
        <f t="shared" si="7"/>
        <v>163.76035639999998</v>
      </c>
      <c r="Z35" s="66">
        <f t="shared" si="7"/>
        <v>163.40756663999997</v>
      </c>
      <c r="AA35" s="66">
        <f t="shared" si="7"/>
        <v>166.75024961599999</v>
      </c>
      <c r="AB35" s="66">
        <f t="shared" si="7"/>
        <v>170.08852271999999</v>
      </c>
      <c r="AC35" s="66">
        <f t="shared" si="7"/>
        <v>170.96167737599998</v>
      </c>
      <c r="AD35" s="66">
        <f t="shared" si="7"/>
        <v>168.74792163199999</v>
      </c>
      <c r="AE35" s="66">
        <f t="shared" si="7"/>
        <v>170.11939182399999</v>
      </c>
      <c r="AF35" s="66">
        <f t="shared" si="7"/>
        <v>172.00240716799999</v>
      </c>
      <c r="AG35" s="66">
        <f t="shared" si="7"/>
        <v>170.55596915199999</v>
      </c>
      <c r="AH35" s="66">
        <f t="shared" si="7"/>
        <v>174.00007918399999</v>
      </c>
      <c r="AI35" s="66">
        <f t="shared" si="7"/>
        <v>175.503845536</v>
      </c>
      <c r="AJ35" s="66">
        <f t="shared" si="7"/>
        <v>178.947955568</v>
      </c>
      <c r="AK35" s="66">
        <f t="shared" si="7"/>
        <v>177.58530511999999</v>
      </c>
      <c r="AL35" s="66">
        <f t="shared" si="7"/>
        <v>174.85118448</v>
      </c>
      <c r="AM35" s="66">
        <f t="shared" si="7"/>
        <v>106.10127999999999</v>
      </c>
      <c r="AN35" s="66">
        <f t="shared" si="7"/>
        <v>106.10127999999999</v>
      </c>
      <c r="AO35" s="66">
        <f t="shared" si="7"/>
        <v>106.10127999999999</v>
      </c>
      <c r="AP35" s="66">
        <f t="shared" si="7"/>
        <v>106.10127999999999</v>
      </c>
      <c r="AQ35" s="66">
        <f t="shared" si="7"/>
        <v>106.10127999999999</v>
      </c>
      <c r="AR35" s="66">
        <f t="shared" si="7"/>
        <v>106.10127999999999</v>
      </c>
      <c r="AS35" s="66">
        <f t="shared" si="7"/>
        <v>106.10127999999999</v>
      </c>
      <c r="AT35" s="66">
        <f t="shared" si="7"/>
        <v>106.10127999999999</v>
      </c>
      <c r="AU35" s="66">
        <f t="shared" si="7"/>
        <v>106.10127999999999</v>
      </c>
      <c r="AV35" s="66">
        <f t="shared" si="7"/>
        <v>106.10127999999999</v>
      </c>
      <c r="AW35" s="66">
        <f t="shared" si="7"/>
        <v>106.10127999999999</v>
      </c>
      <c r="AX35" s="66">
        <f t="shared" si="7"/>
        <v>106.10127999999999</v>
      </c>
      <c r="AY35" s="66">
        <f t="shared" si="7"/>
        <v>106.10127999999999</v>
      </c>
      <c r="AZ35" s="66">
        <f t="shared" si="7"/>
        <v>106.10127999999999</v>
      </c>
      <c r="BA35" s="66">
        <f t="shared" si="7"/>
        <v>106.10127999999999</v>
      </c>
      <c r="BB35" s="66">
        <f t="shared" si="7"/>
        <v>106.10127999999999</v>
      </c>
      <c r="BC35" s="66">
        <f t="shared" si="7"/>
        <v>106.10127999999999</v>
      </c>
      <c r="BD35" s="66">
        <f t="shared" si="7"/>
        <v>106.10127999999999</v>
      </c>
      <c r="BE35" s="66">
        <f t="shared" si="7"/>
        <v>106.10127999999999</v>
      </c>
      <c r="BF35" s="66">
        <f t="shared" si="7"/>
        <v>106.10127999999999</v>
      </c>
      <c r="BG35" s="66">
        <f t="shared" si="7"/>
        <v>106.10127999999999</v>
      </c>
      <c r="BH35" s="66">
        <f t="shared" si="7"/>
        <v>106.10127999999999</v>
      </c>
      <c r="BI35" s="66">
        <f t="shared" si="7"/>
        <v>106.10127999999999</v>
      </c>
      <c r="BJ35" s="66" t="e">
        <f t="shared" si="7"/>
        <v>#DIV/0!</v>
      </c>
      <c r="BK35" s="66" t="e">
        <f t="shared" si="7"/>
        <v>#DIV/0!</v>
      </c>
      <c r="BL35" s="66" t="e">
        <f t="shared" si="7"/>
        <v>#DIV/0!</v>
      </c>
      <c r="BM35" s="66" t="e">
        <f t="shared" si="7"/>
        <v>#DIV/0!</v>
      </c>
    </row>
    <row r="36" spans="2:66" x14ac:dyDescent="0.25">
      <c r="B36" s="156" t="s">
        <v>180</v>
      </c>
      <c r="C36" s="5" t="s">
        <v>176</v>
      </c>
      <c r="D36" s="5" t="s">
        <v>79</v>
      </c>
      <c r="E36" s="5" t="s">
        <v>180</v>
      </c>
      <c r="F36" s="138">
        <v>369.72</v>
      </c>
      <c r="H36" s="5" t="s">
        <v>180</v>
      </c>
      <c r="I36" s="66">
        <f t="shared" ref="I36:I55" si="8">(F36*$I$12)+$F36</f>
        <v>420.54301261440003</v>
      </c>
      <c r="J36" s="66">
        <f t="shared" ref="J36:Y56" si="9">($F36*J$12)+$F36</f>
        <v>424.85243935680001</v>
      </c>
      <c r="K36" s="66">
        <f t="shared" si="9"/>
        <v>426.60009100800005</v>
      </c>
      <c r="L36" s="66">
        <f t="shared" si="7"/>
        <v>427.71815386560002</v>
      </c>
      <c r="M36" s="66">
        <f t="shared" si="7"/>
        <v>416.74376989440003</v>
      </c>
      <c r="N36" s="66">
        <f t="shared" si="7"/>
        <v>410.51301183360005</v>
      </c>
      <c r="O36" s="66">
        <f t="shared" si="7"/>
        <v>419.56606448640002</v>
      </c>
      <c r="P36" s="66">
        <f t="shared" si="7"/>
        <v>414.81158359680001</v>
      </c>
      <c r="Q36" s="66">
        <f t="shared" si="7"/>
        <v>412.31493838080007</v>
      </c>
      <c r="R36" s="66">
        <f t="shared" si="7"/>
        <v>414.80072861760004</v>
      </c>
      <c r="S36" s="66">
        <f t="shared" si="7"/>
        <v>407.01770853120007</v>
      </c>
      <c r="T36" s="66">
        <f t="shared" si="7"/>
        <v>407.45190769920004</v>
      </c>
      <c r="U36" s="66">
        <f t="shared" si="7"/>
        <v>405.61741621440001</v>
      </c>
      <c r="V36" s="66">
        <f t="shared" si="7"/>
        <v>397.73670131520004</v>
      </c>
      <c r="W36" s="66">
        <f t="shared" si="7"/>
        <v>396.85744800000003</v>
      </c>
      <c r="X36" s="66">
        <f t="shared" si="7"/>
        <v>397.94294592000006</v>
      </c>
      <c r="Y36" s="66">
        <f t="shared" si="7"/>
        <v>403.09906104000004</v>
      </c>
      <c r="Z36" s="66">
        <f t="shared" si="7"/>
        <v>402.230662704</v>
      </c>
      <c r="AA36" s="66">
        <f t="shared" si="7"/>
        <v>410.45873693760007</v>
      </c>
      <c r="AB36" s="66">
        <f t="shared" si="7"/>
        <v>418.67595619200006</v>
      </c>
      <c r="AC36" s="66">
        <f t="shared" si="7"/>
        <v>420.82524207360007</v>
      </c>
      <c r="AD36" s="66">
        <f t="shared" si="7"/>
        <v>415.37604251520003</v>
      </c>
      <c r="AE36" s="66">
        <f t="shared" si="7"/>
        <v>418.75194104640002</v>
      </c>
      <c r="AF36" s="66">
        <f t="shared" si="7"/>
        <v>423.38701716480006</v>
      </c>
      <c r="AG36" s="66">
        <f t="shared" si="7"/>
        <v>419.82658398720002</v>
      </c>
      <c r="AH36" s="66">
        <f t="shared" si="7"/>
        <v>428.30432274240002</v>
      </c>
      <c r="AI36" s="66">
        <f t="shared" ref="AI36:AX52" si="10">($F36*AI$12)+$F36</f>
        <v>432.00587064960001</v>
      </c>
      <c r="AJ36" s="66">
        <f t="shared" si="10"/>
        <v>440.48360940480006</v>
      </c>
      <c r="AK36" s="66">
        <f t="shared" si="10"/>
        <v>437.12942083200005</v>
      </c>
      <c r="AL36" s="66">
        <f t="shared" si="10"/>
        <v>430.39933372800004</v>
      </c>
      <c r="AM36" s="66">
        <f t="shared" si="10"/>
        <v>261.170208</v>
      </c>
      <c r="AN36" s="66">
        <f t="shared" si="10"/>
        <v>261.170208</v>
      </c>
      <c r="AO36" s="66">
        <f t="shared" si="10"/>
        <v>261.170208</v>
      </c>
      <c r="AP36" s="66">
        <f t="shared" si="10"/>
        <v>261.170208</v>
      </c>
      <c r="AQ36" s="66">
        <f t="shared" si="10"/>
        <v>261.170208</v>
      </c>
      <c r="AR36" s="66">
        <f t="shared" si="10"/>
        <v>261.170208</v>
      </c>
      <c r="AS36" s="66">
        <f t="shared" si="10"/>
        <v>261.170208</v>
      </c>
      <c r="AT36" s="66">
        <f t="shared" si="10"/>
        <v>261.170208</v>
      </c>
      <c r="AU36" s="66">
        <f t="shared" si="10"/>
        <v>261.170208</v>
      </c>
      <c r="AV36" s="66">
        <f t="shared" si="10"/>
        <v>261.170208</v>
      </c>
      <c r="AW36" s="66">
        <f t="shared" si="10"/>
        <v>261.170208</v>
      </c>
      <c r="AX36" s="66">
        <f t="shared" si="10"/>
        <v>261.170208</v>
      </c>
      <c r="AY36" s="66">
        <f t="shared" ref="AY36:BM51" si="11">($F36*AY$12)+$F36</f>
        <v>261.170208</v>
      </c>
      <c r="AZ36" s="66">
        <f t="shared" si="11"/>
        <v>261.170208</v>
      </c>
      <c r="BA36" s="66">
        <f t="shared" si="11"/>
        <v>261.170208</v>
      </c>
      <c r="BB36" s="66">
        <f t="shared" si="11"/>
        <v>261.170208</v>
      </c>
      <c r="BC36" s="66">
        <f t="shared" si="11"/>
        <v>261.170208</v>
      </c>
      <c r="BD36" s="66">
        <f t="shared" si="11"/>
        <v>261.170208</v>
      </c>
      <c r="BE36" s="66">
        <f t="shared" si="11"/>
        <v>261.170208</v>
      </c>
      <c r="BF36" s="66">
        <f t="shared" si="11"/>
        <v>261.170208</v>
      </c>
      <c r="BG36" s="66">
        <f t="shared" si="11"/>
        <v>261.170208</v>
      </c>
      <c r="BH36" s="66">
        <f t="shared" si="11"/>
        <v>261.170208</v>
      </c>
      <c r="BI36" s="66">
        <f t="shared" si="11"/>
        <v>261.170208</v>
      </c>
      <c r="BJ36" s="66" t="e">
        <f t="shared" si="11"/>
        <v>#DIV/0!</v>
      </c>
      <c r="BK36" s="66" t="e">
        <f t="shared" si="11"/>
        <v>#DIV/0!</v>
      </c>
      <c r="BL36" s="66" t="e">
        <f t="shared" si="11"/>
        <v>#DIV/0!</v>
      </c>
      <c r="BM36" s="66" t="e">
        <f t="shared" si="11"/>
        <v>#DIV/0!</v>
      </c>
    </row>
    <row r="37" spans="2:66" x14ac:dyDescent="0.25">
      <c r="B37" s="156" t="s">
        <v>34</v>
      </c>
      <c r="C37" s="5" t="s">
        <v>176</v>
      </c>
      <c r="D37" s="5" t="s">
        <v>79</v>
      </c>
      <c r="E37" s="5" t="s">
        <v>34</v>
      </c>
      <c r="F37" s="159">
        <v>150.19999999999999</v>
      </c>
      <c r="H37" s="5" t="s">
        <v>34</v>
      </c>
      <c r="I37" s="66">
        <f t="shared" si="8"/>
        <v>170.84702070399999</v>
      </c>
      <c r="J37" s="66">
        <f t="shared" si="9"/>
        <v>172.59773988799998</v>
      </c>
      <c r="K37" s="66">
        <f t="shared" si="9"/>
        <v>173.30772927999999</v>
      </c>
      <c r="L37" s="66">
        <f t="shared" si="7"/>
        <v>173.761946096</v>
      </c>
      <c r="M37" s="66">
        <f t="shared" si="7"/>
        <v>169.30356550399998</v>
      </c>
      <c r="N37" s="66">
        <f t="shared" si="7"/>
        <v>166.772298976</v>
      </c>
      <c r="O37" s="66">
        <f t="shared" si="7"/>
        <v>170.45013222399999</v>
      </c>
      <c r="P37" s="66">
        <f t="shared" si="7"/>
        <v>168.518608288</v>
      </c>
      <c r="Q37" s="66">
        <f t="shared" si="7"/>
        <v>167.504337728</v>
      </c>
      <c r="R37" s="66">
        <f t="shared" si="7"/>
        <v>168.514198416</v>
      </c>
      <c r="S37" s="66">
        <f t="shared" si="7"/>
        <v>165.35232019200001</v>
      </c>
      <c r="T37" s="66">
        <f t="shared" si="7"/>
        <v>165.52871507199998</v>
      </c>
      <c r="U37" s="66">
        <f t="shared" si="7"/>
        <v>164.78344670399997</v>
      </c>
      <c r="V37" s="66">
        <f t="shared" si="7"/>
        <v>161.58187963199998</v>
      </c>
      <c r="W37" s="66">
        <f t="shared" si="7"/>
        <v>161.22467999999998</v>
      </c>
      <c r="X37" s="66">
        <f t="shared" si="7"/>
        <v>161.66566719999997</v>
      </c>
      <c r="Y37" s="66">
        <f t="shared" si="7"/>
        <v>163.76035639999998</v>
      </c>
      <c r="Z37" s="66">
        <f t="shared" si="7"/>
        <v>163.40756663999997</v>
      </c>
      <c r="AA37" s="66">
        <f t="shared" si="7"/>
        <v>166.75024961599999</v>
      </c>
      <c r="AB37" s="66">
        <f t="shared" si="7"/>
        <v>170.08852271999999</v>
      </c>
      <c r="AC37" s="66">
        <f t="shared" si="7"/>
        <v>170.96167737599998</v>
      </c>
      <c r="AD37" s="66">
        <f t="shared" si="7"/>
        <v>168.74792163199999</v>
      </c>
      <c r="AE37" s="66">
        <f t="shared" si="7"/>
        <v>170.11939182399999</v>
      </c>
      <c r="AF37" s="66">
        <f t="shared" si="7"/>
        <v>172.00240716799999</v>
      </c>
      <c r="AG37" s="66">
        <f t="shared" si="7"/>
        <v>170.55596915199999</v>
      </c>
      <c r="AH37" s="66">
        <f t="shared" si="7"/>
        <v>174.00007918399999</v>
      </c>
      <c r="AI37" s="66">
        <f t="shared" si="10"/>
        <v>175.503845536</v>
      </c>
      <c r="AJ37" s="66">
        <f t="shared" si="10"/>
        <v>178.947955568</v>
      </c>
      <c r="AK37" s="66">
        <f t="shared" si="10"/>
        <v>177.58530511999999</v>
      </c>
      <c r="AL37" s="66">
        <f t="shared" si="10"/>
        <v>174.85118448</v>
      </c>
      <c r="AM37" s="66">
        <f t="shared" si="10"/>
        <v>106.10127999999999</v>
      </c>
      <c r="AN37" s="66">
        <f t="shared" si="10"/>
        <v>106.10127999999999</v>
      </c>
      <c r="AO37" s="66">
        <f t="shared" si="10"/>
        <v>106.10127999999999</v>
      </c>
      <c r="AP37" s="66">
        <f t="shared" si="10"/>
        <v>106.10127999999999</v>
      </c>
      <c r="AQ37" s="66">
        <f t="shared" si="10"/>
        <v>106.10127999999999</v>
      </c>
      <c r="AR37" s="66">
        <f t="shared" si="10"/>
        <v>106.10127999999999</v>
      </c>
      <c r="AS37" s="66">
        <f t="shared" si="10"/>
        <v>106.10127999999999</v>
      </c>
      <c r="AT37" s="66">
        <f t="shared" si="10"/>
        <v>106.10127999999999</v>
      </c>
      <c r="AU37" s="66">
        <f t="shared" si="10"/>
        <v>106.10127999999999</v>
      </c>
      <c r="AV37" s="66">
        <f t="shared" si="10"/>
        <v>106.10127999999999</v>
      </c>
      <c r="AW37" s="66">
        <f t="shared" si="10"/>
        <v>106.10127999999999</v>
      </c>
      <c r="AX37" s="66">
        <f t="shared" si="10"/>
        <v>106.10127999999999</v>
      </c>
      <c r="AY37" s="66">
        <f t="shared" si="11"/>
        <v>106.10127999999999</v>
      </c>
      <c r="AZ37" s="66">
        <f t="shared" si="11"/>
        <v>106.10127999999999</v>
      </c>
      <c r="BA37" s="66">
        <f t="shared" si="11"/>
        <v>106.10127999999999</v>
      </c>
      <c r="BB37" s="66">
        <f t="shared" si="11"/>
        <v>106.10127999999999</v>
      </c>
      <c r="BC37" s="66">
        <f t="shared" si="11"/>
        <v>106.10127999999999</v>
      </c>
      <c r="BD37" s="66">
        <f t="shared" si="11"/>
        <v>106.10127999999999</v>
      </c>
      <c r="BE37" s="66">
        <f t="shared" si="11"/>
        <v>106.10127999999999</v>
      </c>
      <c r="BF37" s="66">
        <f t="shared" si="11"/>
        <v>106.10127999999999</v>
      </c>
      <c r="BG37" s="66">
        <f t="shared" si="11"/>
        <v>106.10127999999999</v>
      </c>
      <c r="BH37" s="66">
        <f t="shared" si="11"/>
        <v>106.10127999999999</v>
      </c>
      <c r="BI37" s="66">
        <f t="shared" si="11"/>
        <v>106.10127999999999</v>
      </c>
      <c r="BJ37" s="66" t="e">
        <f t="shared" si="11"/>
        <v>#DIV/0!</v>
      </c>
      <c r="BK37" s="66" t="e">
        <f t="shared" si="11"/>
        <v>#DIV/0!</v>
      </c>
      <c r="BL37" s="66" t="e">
        <f t="shared" si="11"/>
        <v>#DIV/0!</v>
      </c>
      <c r="BM37" s="66" t="e">
        <f t="shared" si="11"/>
        <v>#DIV/0!</v>
      </c>
    </row>
    <row r="38" spans="2:66" x14ac:dyDescent="0.25">
      <c r="B38" s="157" t="s">
        <v>189</v>
      </c>
      <c r="C38" s="5" t="s">
        <v>176</v>
      </c>
      <c r="D38" s="5" t="s">
        <v>79</v>
      </c>
      <c r="E38" s="63" t="s">
        <v>189</v>
      </c>
      <c r="F38" s="159">
        <v>196.41</v>
      </c>
      <c r="H38" s="63" t="s">
        <v>189</v>
      </c>
      <c r="I38" s="66">
        <f t="shared" si="8"/>
        <v>223.4092099632</v>
      </c>
      <c r="J38" s="66">
        <f t="shared" si="9"/>
        <v>225.69854921039999</v>
      </c>
      <c r="K38" s="66">
        <f t="shared" si="9"/>
        <v>226.626971424</v>
      </c>
      <c r="L38" s="66">
        <f t="shared" si="7"/>
        <v>227.22093097679999</v>
      </c>
      <c r="M38" s="66">
        <f t="shared" si="7"/>
        <v>221.3909008032</v>
      </c>
      <c r="N38" s="66">
        <f t="shared" si="7"/>
        <v>218.0808737808</v>
      </c>
      <c r="O38" s="66">
        <f t="shared" si="7"/>
        <v>222.8902161792</v>
      </c>
      <c r="P38" s="66">
        <f t="shared" si="7"/>
        <v>220.36444643039999</v>
      </c>
      <c r="Q38" s="66">
        <f t="shared" si="7"/>
        <v>219.0381289824</v>
      </c>
      <c r="R38" s="66">
        <f t="shared" si="7"/>
        <v>220.35867983279999</v>
      </c>
      <c r="S38" s="66">
        <f t="shared" si="7"/>
        <v>216.2240293536</v>
      </c>
      <c r="T38" s="66">
        <f t="shared" si="7"/>
        <v>216.45469325759998</v>
      </c>
      <c r="U38" s="66">
        <f t="shared" si="7"/>
        <v>215.48013826319999</v>
      </c>
      <c r="V38" s="66">
        <f t="shared" si="7"/>
        <v>211.29358840559999</v>
      </c>
      <c r="W38" s="66">
        <f t="shared" si="7"/>
        <v>210.826494</v>
      </c>
      <c r="X38" s="66">
        <f t="shared" si="7"/>
        <v>211.40315376000001</v>
      </c>
      <c r="Y38" s="66">
        <f t="shared" si="7"/>
        <v>214.14228761999999</v>
      </c>
      <c r="Z38" s="66">
        <f t="shared" si="7"/>
        <v>213.680959812</v>
      </c>
      <c r="AA38" s="66">
        <f t="shared" si="7"/>
        <v>218.0520407928</v>
      </c>
      <c r="AB38" s="66">
        <f t="shared" si="7"/>
        <v>222.417355176</v>
      </c>
      <c r="AC38" s="66">
        <f t="shared" si="7"/>
        <v>223.5591415008</v>
      </c>
      <c r="AD38" s="66">
        <f t="shared" si="7"/>
        <v>220.66430950559999</v>
      </c>
      <c r="AE38" s="66">
        <f t="shared" si="7"/>
        <v>222.45772135919998</v>
      </c>
      <c r="AF38" s="66">
        <f t="shared" si="7"/>
        <v>224.9200585344</v>
      </c>
      <c r="AG38" s="66">
        <f t="shared" si="7"/>
        <v>223.02861452159999</v>
      </c>
      <c r="AH38" s="66">
        <f t="shared" si="7"/>
        <v>227.53232724719999</v>
      </c>
      <c r="AI38" s="66">
        <f t="shared" si="10"/>
        <v>229.49873702880001</v>
      </c>
      <c r="AJ38" s="66">
        <f t="shared" si="10"/>
        <v>234.0024497544</v>
      </c>
      <c r="AK38" s="66">
        <f t="shared" si="10"/>
        <v>232.22057109599999</v>
      </c>
      <c r="AL38" s="66">
        <f t="shared" si="10"/>
        <v>228.64528058400001</v>
      </c>
      <c r="AM38" s="66">
        <f t="shared" si="10"/>
        <v>138.744024</v>
      </c>
      <c r="AN38" s="66">
        <f t="shared" si="10"/>
        <v>138.744024</v>
      </c>
      <c r="AO38" s="66">
        <f t="shared" si="10"/>
        <v>138.744024</v>
      </c>
      <c r="AP38" s="66">
        <f t="shared" si="10"/>
        <v>138.744024</v>
      </c>
      <c r="AQ38" s="66">
        <f t="shared" si="10"/>
        <v>138.744024</v>
      </c>
      <c r="AR38" s="66">
        <f t="shared" si="10"/>
        <v>138.744024</v>
      </c>
      <c r="AS38" s="66">
        <f t="shared" si="10"/>
        <v>138.744024</v>
      </c>
      <c r="AT38" s="66">
        <f t="shared" si="10"/>
        <v>138.744024</v>
      </c>
      <c r="AU38" s="66">
        <f t="shared" si="10"/>
        <v>138.744024</v>
      </c>
      <c r="AV38" s="66">
        <f t="shared" si="10"/>
        <v>138.744024</v>
      </c>
      <c r="AW38" s="66">
        <f t="shared" si="10"/>
        <v>138.744024</v>
      </c>
      <c r="AX38" s="66">
        <f t="shared" si="10"/>
        <v>138.744024</v>
      </c>
      <c r="AY38" s="66">
        <f t="shared" si="11"/>
        <v>138.744024</v>
      </c>
      <c r="AZ38" s="66">
        <f t="shared" si="11"/>
        <v>138.744024</v>
      </c>
      <c r="BA38" s="66">
        <f t="shared" si="11"/>
        <v>138.744024</v>
      </c>
      <c r="BB38" s="66">
        <f t="shared" si="11"/>
        <v>138.744024</v>
      </c>
      <c r="BC38" s="66">
        <f t="shared" si="11"/>
        <v>138.744024</v>
      </c>
      <c r="BD38" s="66">
        <f t="shared" si="11"/>
        <v>138.744024</v>
      </c>
      <c r="BE38" s="66">
        <f t="shared" si="11"/>
        <v>138.744024</v>
      </c>
      <c r="BF38" s="66">
        <f t="shared" si="11"/>
        <v>138.744024</v>
      </c>
      <c r="BG38" s="66">
        <f t="shared" si="11"/>
        <v>138.744024</v>
      </c>
      <c r="BH38" s="66">
        <f t="shared" si="11"/>
        <v>138.744024</v>
      </c>
      <c r="BI38" s="66">
        <f t="shared" si="11"/>
        <v>138.744024</v>
      </c>
      <c r="BJ38" s="66" t="e">
        <f t="shared" si="11"/>
        <v>#DIV/0!</v>
      </c>
      <c r="BK38" s="66" t="e">
        <f t="shared" si="11"/>
        <v>#DIV/0!</v>
      </c>
      <c r="BL38" s="66" t="e">
        <f t="shared" si="11"/>
        <v>#DIV/0!</v>
      </c>
      <c r="BM38" s="66" t="e">
        <f t="shared" si="11"/>
        <v>#DIV/0!</v>
      </c>
    </row>
    <row r="39" spans="2:66" x14ac:dyDescent="0.25">
      <c r="B39" s="156" t="s">
        <v>36</v>
      </c>
      <c r="C39" s="5" t="s">
        <v>176</v>
      </c>
      <c r="D39" s="5" t="s">
        <v>79</v>
      </c>
      <c r="E39" s="5" t="s">
        <v>36</v>
      </c>
      <c r="F39" s="159">
        <v>335.06</v>
      </c>
      <c r="H39" s="5" t="s">
        <v>36</v>
      </c>
      <c r="I39" s="66">
        <f t="shared" si="8"/>
        <v>381.1185270112</v>
      </c>
      <c r="J39" s="66">
        <f t="shared" si="9"/>
        <v>385.02395956639998</v>
      </c>
      <c r="K39" s="66">
        <f t="shared" si="9"/>
        <v>386.60777478400001</v>
      </c>
      <c r="L39" s="66">
        <f t="shared" si="7"/>
        <v>387.62102302880004</v>
      </c>
      <c r="M39" s="66">
        <f t="shared" si="7"/>
        <v>377.67545045119999</v>
      </c>
      <c r="N39" s="66">
        <f t="shared" si="7"/>
        <v>372.0288048928</v>
      </c>
      <c r="O39" s="66">
        <f t="shared" si="7"/>
        <v>380.23316446719997</v>
      </c>
      <c r="P39" s="66">
        <f t="shared" si="7"/>
        <v>375.9244000864</v>
      </c>
      <c r="Q39" s="66">
        <f t="shared" si="7"/>
        <v>373.66180691840003</v>
      </c>
      <c r="R39" s="66">
        <f t="shared" si="7"/>
        <v>375.91456272480002</v>
      </c>
      <c r="S39" s="66">
        <f t="shared" si="7"/>
        <v>368.86117445760004</v>
      </c>
      <c r="T39" s="66">
        <f t="shared" si="7"/>
        <v>369.2546689216</v>
      </c>
      <c r="U39" s="66">
        <f t="shared" si="7"/>
        <v>367.59215481119998</v>
      </c>
      <c r="V39" s="66">
        <f t="shared" si="7"/>
        <v>360.45023028960003</v>
      </c>
      <c r="W39" s="66">
        <f t="shared" si="7"/>
        <v>359.65340400000002</v>
      </c>
      <c r="X39" s="66">
        <f t="shared" si="7"/>
        <v>360.63714016</v>
      </c>
      <c r="Y39" s="66">
        <f t="shared" si="7"/>
        <v>365.30988692</v>
      </c>
      <c r="Z39" s="66">
        <f t="shared" si="7"/>
        <v>364.52289799199997</v>
      </c>
      <c r="AA39" s="66">
        <f t="shared" si="7"/>
        <v>371.97961808479999</v>
      </c>
      <c r="AB39" s="66">
        <f t="shared" si="7"/>
        <v>379.42650081599999</v>
      </c>
      <c r="AC39" s="66">
        <f t="shared" si="7"/>
        <v>381.37429841280004</v>
      </c>
      <c r="AD39" s="66">
        <f t="shared" si="7"/>
        <v>376.43594288960003</v>
      </c>
      <c r="AE39" s="66">
        <f t="shared" si="7"/>
        <v>379.4953623472</v>
      </c>
      <c r="AF39" s="66">
        <f t="shared" si="7"/>
        <v>383.69591575039999</v>
      </c>
      <c r="AG39" s="66">
        <f t="shared" si="7"/>
        <v>380.4692611456</v>
      </c>
      <c r="AH39" s="66">
        <f t="shared" si="7"/>
        <v>388.15224055520002</v>
      </c>
      <c r="AI39" s="66">
        <f t="shared" si="10"/>
        <v>391.50678086080001</v>
      </c>
      <c r="AJ39" s="66">
        <f t="shared" si="10"/>
        <v>399.18976027040003</v>
      </c>
      <c r="AK39" s="66">
        <f t="shared" si="10"/>
        <v>396.15001553600001</v>
      </c>
      <c r="AL39" s="66">
        <f t="shared" si="10"/>
        <v>390.05085134400002</v>
      </c>
      <c r="AM39" s="66">
        <f t="shared" si="10"/>
        <v>236.68638399999998</v>
      </c>
      <c r="AN39" s="66">
        <f t="shared" si="10"/>
        <v>236.68638399999998</v>
      </c>
      <c r="AO39" s="66">
        <f t="shared" si="10"/>
        <v>236.68638399999998</v>
      </c>
      <c r="AP39" s="66">
        <f t="shared" si="10"/>
        <v>236.68638399999998</v>
      </c>
      <c r="AQ39" s="66">
        <f t="shared" si="10"/>
        <v>236.68638399999998</v>
      </c>
      <c r="AR39" s="66">
        <f t="shared" si="10"/>
        <v>236.68638399999998</v>
      </c>
      <c r="AS39" s="66">
        <f t="shared" si="10"/>
        <v>236.68638399999998</v>
      </c>
      <c r="AT39" s="66">
        <f t="shared" si="10"/>
        <v>236.68638399999998</v>
      </c>
      <c r="AU39" s="66">
        <f t="shared" si="10"/>
        <v>236.68638399999998</v>
      </c>
      <c r="AV39" s="66">
        <f t="shared" si="10"/>
        <v>236.68638399999998</v>
      </c>
      <c r="AW39" s="66">
        <f t="shared" si="10"/>
        <v>236.68638399999998</v>
      </c>
      <c r="AX39" s="66">
        <f t="shared" si="10"/>
        <v>236.68638399999998</v>
      </c>
      <c r="AY39" s="66">
        <f t="shared" si="11"/>
        <v>236.68638399999998</v>
      </c>
      <c r="AZ39" s="66">
        <f t="shared" si="11"/>
        <v>236.68638399999998</v>
      </c>
      <c r="BA39" s="66">
        <f t="shared" si="11"/>
        <v>236.68638399999998</v>
      </c>
      <c r="BB39" s="66">
        <f t="shared" si="11"/>
        <v>236.68638399999998</v>
      </c>
      <c r="BC39" s="66">
        <f t="shared" si="11"/>
        <v>236.68638399999998</v>
      </c>
      <c r="BD39" s="66">
        <f t="shared" si="11"/>
        <v>236.68638399999998</v>
      </c>
      <c r="BE39" s="66">
        <f t="shared" si="11"/>
        <v>236.68638399999998</v>
      </c>
      <c r="BF39" s="66">
        <f t="shared" si="11"/>
        <v>236.68638399999998</v>
      </c>
      <c r="BG39" s="66">
        <f t="shared" si="11"/>
        <v>236.68638399999998</v>
      </c>
      <c r="BH39" s="66">
        <f t="shared" si="11"/>
        <v>236.68638399999998</v>
      </c>
      <c r="BI39" s="66">
        <f t="shared" si="11"/>
        <v>236.68638399999998</v>
      </c>
      <c r="BJ39" s="66" t="e">
        <f t="shared" si="11"/>
        <v>#DIV/0!</v>
      </c>
      <c r="BK39" s="66" t="e">
        <f t="shared" si="11"/>
        <v>#DIV/0!</v>
      </c>
      <c r="BL39" s="66" t="e">
        <f t="shared" si="11"/>
        <v>#DIV/0!</v>
      </c>
      <c r="BM39" s="66" t="e">
        <f t="shared" si="11"/>
        <v>#DIV/0!</v>
      </c>
    </row>
    <row r="40" spans="2:66" x14ac:dyDescent="0.25">
      <c r="B40" s="156" t="s">
        <v>37</v>
      </c>
      <c r="C40" s="5" t="s">
        <v>176</v>
      </c>
      <c r="D40" s="5" t="s">
        <v>79</v>
      </c>
      <c r="E40" s="5" t="s">
        <v>37</v>
      </c>
      <c r="F40" s="138">
        <v>306.16000000000003</v>
      </c>
      <c r="H40" s="5" t="s">
        <v>37</v>
      </c>
      <c r="I40" s="66">
        <f t="shared" si="8"/>
        <v>348.2458312832</v>
      </c>
      <c r="J40" s="66">
        <f t="shared" si="9"/>
        <v>351.81440775040005</v>
      </c>
      <c r="K40" s="66">
        <f t="shared" si="9"/>
        <v>353.26161382400005</v>
      </c>
      <c r="L40" s="66">
        <f t="shared" si="7"/>
        <v>354.18746615680004</v>
      </c>
      <c r="M40" s="66">
        <f t="shared" si="7"/>
        <v>345.09973112320006</v>
      </c>
      <c r="N40" s="66">
        <f t="shared" si="7"/>
        <v>339.94012686080004</v>
      </c>
      <c r="O40" s="66">
        <f t="shared" si="7"/>
        <v>347.43683409920004</v>
      </c>
      <c r="P40" s="66">
        <f t="shared" si="7"/>
        <v>343.49971447040002</v>
      </c>
      <c r="Q40" s="66">
        <f t="shared" si="7"/>
        <v>341.43227722240005</v>
      </c>
      <c r="R40" s="66">
        <f t="shared" si="7"/>
        <v>343.49072561280002</v>
      </c>
      <c r="S40" s="66">
        <f t="shared" si="7"/>
        <v>337.04571471360003</v>
      </c>
      <c r="T40" s="66">
        <f t="shared" si="7"/>
        <v>337.40526901760001</v>
      </c>
      <c r="U40" s="66">
        <f t="shared" si="7"/>
        <v>335.88615208320005</v>
      </c>
      <c r="V40" s="66">
        <f t="shared" si="7"/>
        <v>329.36024146560004</v>
      </c>
      <c r="W40" s="66">
        <f t="shared" si="7"/>
        <v>328.63214400000004</v>
      </c>
      <c r="X40" s="66">
        <f t="shared" si="7"/>
        <v>329.53102976000002</v>
      </c>
      <c r="Y40" s="66">
        <f t="shared" si="7"/>
        <v>333.80073712000001</v>
      </c>
      <c r="Z40" s="66">
        <f t="shared" si="7"/>
        <v>333.08162851200001</v>
      </c>
      <c r="AA40" s="66">
        <f t="shared" si="7"/>
        <v>339.89518257280002</v>
      </c>
      <c r="AB40" s="66">
        <f t="shared" si="7"/>
        <v>346.69974777600004</v>
      </c>
      <c r="AC40" s="66">
        <f t="shared" si="7"/>
        <v>348.47954158080006</v>
      </c>
      <c r="AD40" s="66">
        <f t="shared" si="7"/>
        <v>343.96713506560002</v>
      </c>
      <c r="AE40" s="66">
        <f t="shared" si="7"/>
        <v>346.7626697792</v>
      </c>
      <c r="AF40" s="66">
        <f t="shared" si="7"/>
        <v>350.60091197440005</v>
      </c>
      <c r="AG40" s="66">
        <f t="shared" si="7"/>
        <v>347.65256668160004</v>
      </c>
      <c r="AH40" s="66">
        <f t="shared" si="7"/>
        <v>354.67286446720004</v>
      </c>
      <c r="AI40" s="66">
        <f t="shared" si="10"/>
        <v>357.73806490880003</v>
      </c>
      <c r="AJ40" s="66">
        <f t="shared" si="10"/>
        <v>364.75836269440003</v>
      </c>
      <c r="AK40" s="66">
        <f t="shared" si="10"/>
        <v>361.98080569600006</v>
      </c>
      <c r="AL40" s="66">
        <f t="shared" si="10"/>
        <v>356.40771398400005</v>
      </c>
      <c r="AM40" s="66">
        <f t="shared" si="10"/>
        <v>216.27142400000002</v>
      </c>
      <c r="AN40" s="66">
        <f t="shared" si="10"/>
        <v>216.27142400000002</v>
      </c>
      <c r="AO40" s="66">
        <f t="shared" si="10"/>
        <v>216.27142400000002</v>
      </c>
      <c r="AP40" s="66">
        <f t="shared" si="10"/>
        <v>216.27142400000002</v>
      </c>
      <c r="AQ40" s="66">
        <f t="shared" si="10"/>
        <v>216.27142400000002</v>
      </c>
      <c r="AR40" s="66">
        <f t="shared" si="10"/>
        <v>216.27142400000002</v>
      </c>
      <c r="AS40" s="66">
        <f t="shared" si="10"/>
        <v>216.27142400000002</v>
      </c>
      <c r="AT40" s="66">
        <f t="shared" si="10"/>
        <v>216.27142400000002</v>
      </c>
      <c r="AU40" s="66">
        <f t="shared" si="10"/>
        <v>216.27142400000002</v>
      </c>
      <c r="AV40" s="66">
        <f t="shared" si="10"/>
        <v>216.27142400000002</v>
      </c>
      <c r="AW40" s="66">
        <f t="shared" si="10"/>
        <v>216.27142400000002</v>
      </c>
      <c r="AX40" s="66">
        <f t="shared" si="10"/>
        <v>216.27142400000002</v>
      </c>
      <c r="AY40" s="66">
        <f t="shared" si="11"/>
        <v>216.27142400000002</v>
      </c>
      <c r="AZ40" s="66">
        <f t="shared" si="11"/>
        <v>216.27142400000002</v>
      </c>
      <c r="BA40" s="66">
        <f t="shared" si="11"/>
        <v>216.27142400000002</v>
      </c>
      <c r="BB40" s="66">
        <f t="shared" si="11"/>
        <v>216.27142400000002</v>
      </c>
      <c r="BC40" s="66">
        <f t="shared" si="11"/>
        <v>216.27142400000002</v>
      </c>
      <c r="BD40" s="66">
        <f t="shared" si="11"/>
        <v>216.27142400000002</v>
      </c>
      <c r="BE40" s="66">
        <f t="shared" si="11"/>
        <v>216.27142400000002</v>
      </c>
      <c r="BF40" s="66">
        <f t="shared" si="11"/>
        <v>216.27142400000002</v>
      </c>
      <c r="BG40" s="66">
        <f t="shared" si="11"/>
        <v>216.27142400000002</v>
      </c>
      <c r="BH40" s="66">
        <f t="shared" si="11"/>
        <v>216.27142400000002</v>
      </c>
      <c r="BI40" s="66">
        <f t="shared" si="11"/>
        <v>216.27142400000002</v>
      </c>
      <c r="BJ40" s="66" t="e">
        <f t="shared" si="11"/>
        <v>#DIV/0!</v>
      </c>
      <c r="BK40" s="66" t="e">
        <f t="shared" si="11"/>
        <v>#DIV/0!</v>
      </c>
      <c r="BL40" s="66" t="e">
        <f t="shared" si="11"/>
        <v>#DIV/0!</v>
      </c>
      <c r="BM40" s="66" t="e">
        <f t="shared" si="11"/>
        <v>#DIV/0!</v>
      </c>
    </row>
    <row r="41" spans="2:66" x14ac:dyDescent="0.25">
      <c r="B41" s="5" t="s">
        <v>38</v>
      </c>
      <c r="C41" s="5" t="s">
        <v>176</v>
      </c>
      <c r="D41" s="5" t="s">
        <v>79</v>
      </c>
      <c r="E41" s="5" t="s">
        <v>38</v>
      </c>
      <c r="F41" s="138"/>
      <c r="H41" s="5" t="s">
        <v>38</v>
      </c>
      <c r="I41" s="66">
        <f t="shared" si="8"/>
        <v>0</v>
      </c>
      <c r="J41" s="66">
        <f t="shared" si="9"/>
        <v>0</v>
      </c>
      <c r="K41" s="66">
        <f t="shared" si="9"/>
        <v>0</v>
      </c>
      <c r="L41" s="66">
        <f t="shared" si="7"/>
        <v>0</v>
      </c>
      <c r="M41" s="66">
        <f t="shared" si="7"/>
        <v>0</v>
      </c>
      <c r="N41" s="66">
        <f t="shared" si="7"/>
        <v>0</v>
      </c>
      <c r="O41" s="66">
        <f t="shared" si="7"/>
        <v>0</v>
      </c>
      <c r="P41" s="66">
        <f t="shared" si="7"/>
        <v>0</v>
      </c>
      <c r="Q41" s="66">
        <f t="shared" si="7"/>
        <v>0</v>
      </c>
      <c r="R41" s="66">
        <f t="shared" si="7"/>
        <v>0</v>
      </c>
      <c r="S41" s="66">
        <f t="shared" si="7"/>
        <v>0</v>
      </c>
      <c r="T41" s="66">
        <f t="shared" si="7"/>
        <v>0</v>
      </c>
      <c r="U41" s="66">
        <f t="shared" si="7"/>
        <v>0</v>
      </c>
      <c r="V41" s="66">
        <f t="shared" si="7"/>
        <v>0</v>
      </c>
      <c r="W41" s="66">
        <f t="shared" si="7"/>
        <v>0</v>
      </c>
      <c r="X41" s="66">
        <f t="shared" si="7"/>
        <v>0</v>
      </c>
      <c r="Y41" s="66">
        <f t="shared" si="7"/>
        <v>0</v>
      </c>
      <c r="Z41" s="66">
        <f t="shared" si="7"/>
        <v>0</v>
      </c>
      <c r="AA41" s="66">
        <f t="shared" si="7"/>
        <v>0</v>
      </c>
      <c r="AB41" s="66">
        <f t="shared" si="7"/>
        <v>0</v>
      </c>
      <c r="AC41" s="66">
        <f t="shared" si="7"/>
        <v>0</v>
      </c>
      <c r="AD41" s="66">
        <f t="shared" si="7"/>
        <v>0</v>
      </c>
      <c r="AE41" s="66">
        <f t="shared" si="7"/>
        <v>0</v>
      </c>
      <c r="AF41" s="66">
        <f t="shared" si="7"/>
        <v>0</v>
      </c>
      <c r="AG41" s="66">
        <f t="shared" si="7"/>
        <v>0</v>
      </c>
      <c r="AH41" s="66">
        <f t="shared" si="7"/>
        <v>0</v>
      </c>
      <c r="AI41" s="66">
        <f t="shared" si="10"/>
        <v>0</v>
      </c>
      <c r="AJ41" s="66">
        <f t="shared" si="10"/>
        <v>0</v>
      </c>
      <c r="AK41" s="66">
        <f t="shared" si="10"/>
        <v>0</v>
      </c>
      <c r="AL41" s="66">
        <f t="shared" si="10"/>
        <v>0</v>
      </c>
      <c r="AM41" s="66">
        <f t="shared" si="10"/>
        <v>0</v>
      </c>
      <c r="AN41" s="66">
        <f t="shared" si="10"/>
        <v>0</v>
      </c>
      <c r="AO41" s="66">
        <f t="shared" si="10"/>
        <v>0</v>
      </c>
      <c r="AP41" s="66">
        <f t="shared" si="10"/>
        <v>0</v>
      </c>
      <c r="AQ41" s="66">
        <f t="shared" si="10"/>
        <v>0</v>
      </c>
      <c r="AR41" s="66">
        <f t="shared" si="10"/>
        <v>0</v>
      </c>
      <c r="AS41" s="66">
        <f t="shared" si="10"/>
        <v>0</v>
      </c>
      <c r="AT41" s="66">
        <f t="shared" si="10"/>
        <v>0</v>
      </c>
      <c r="AU41" s="66">
        <f t="shared" si="10"/>
        <v>0</v>
      </c>
      <c r="AV41" s="66">
        <f t="shared" si="10"/>
        <v>0</v>
      </c>
      <c r="AW41" s="66">
        <f t="shared" si="10"/>
        <v>0</v>
      </c>
      <c r="AX41" s="66">
        <f t="shared" si="10"/>
        <v>0</v>
      </c>
      <c r="AY41" s="66">
        <f t="shared" si="11"/>
        <v>0</v>
      </c>
      <c r="AZ41" s="66">
        <f t="shared" si="11"/>
        <v>0</v>
      </c>
      <c r="BA41" s="66">
        <f t="shared" si="11"/>
        <v>0</v>
      </c>
      <c r="BB41" s="66">
        <f t="shared" si="11"/>
        <v>0</v>
      </c>
      <c r="BC41" s="66">
        <f t="shared" si="11"/>
        <v>0</v>
      </c>
      <c r="BD41" s="66">
        <f t="shared" si="11"/>
        <v>0</v>
      </c>
      <c r="BE41" s="66">
        <f t="shared" si="11"/>
        <v>0</v>
      </c>
      <c r="BF41" s="66">
        <f t="shared" si="11"/>
        <v>0</v>
      </c>
      <c r="BG41" s="66">
        <f t="shared" si="11"/>
        <v>0</v>
      </c>
      <c r="BH41" s="66">
        <f t="shared" si="11"/>
        <v>0</v>
      </c>
      <c r="BI41" s="66">
        <f t="shared" si="11"/>
        <v>0</v>
      </c>
      <c r="BJ41" s="66" t="e">
        <f t="shared" si="11"/>
        <v>#DIV/0!</v>
      </c>
      <c r="BK41" s="66" t="e">
        <f t="shared" si="11"/>
        <v>#DIV/0!</v>
      </c>
      <c r="BL41" s="66" t="e">
        <f t="shared" si="11"/>
        <v>#DIV/0!</v>
      </c>
      <c r="BM41" s="66" t="e">
        <f t="shared" si="11"/>
        <v>#DIV/0!</v>
      </c>
    </row>
    <row r="42" spans="2:66" x14ac:dyDescent="0.25">
      <c r="B42" s="5" t="s">
        <v>39</v>
      </c>
      <c r="C42" s="5" t="s">
        <v>176</v>
      </c>
      <c r="D42" s="5" t="s">
        <v>79</v>
      </c>
      <c r="E42" s="5" t="s">
        <v>39</v>
      </c>
      <c r="F42" s="159">
        <v>438.23</v>
      </c>
      <c r="H42" s="5" t="s">
        <v>39</v>
      </c>
      <c r="I42" s="66">
        <f t="shared" si="8"/>
        <v>498.47063836960001</v>
      </c>
      <c r="J42" s="66">
        <f t="shared" si="9"/>
        <v>503.57861219120002</v>
      </c>
      <c r="K42" s="66">
        <f t="shared" si="9"/>
        <v>505.65010787200004</v>
      </c>
      <c r="L42" s="66">
        <f t="shared" si="7"/>
        <v>506.97535045040001</v>
      </c>
      <c r="M42" s="66">
        <f t="shared" si="7"/>
        <v>493.96738688959999</v>
      </c>
      <c r="N42" s="66">
        <f t="shared" si="7"/>
        <v>486.58205446240004</v>
      </c>
      <c r="O42" s="66">
        <f t="shared" si="7"/>
        <v>497.3126594176</v>
      </c>
      <c r="P42" s="66">
        <f t="shared" si="7"/>
        <v>491.67716185120003</v>
      </c>
      <c r="Q42" s="66">
        <f t="shared" si="7"/>
        <v>488.71788230720006</v>
      </c>
      <c r="R42" s="66">
        <f t="shared" si="7"/>
        <v>491.6642954184</v>
      </c>
      <c r="S42" s="66">
        <f t="shared" si="7"/>
        <v>482.43906310080007</v>
      </c>
      <c r="T42" s="66">
        <f t="shared" si="7"/>
        <v>482.95372041280001</v>
      </c>
      <c r="U42" s="66">
        <f t="shared" si="7"/>
        <v>480.77929326960003</v>
      </c>
      <c r="V42" s="66">
        <f t="shared" si="7"/>
        <v>471.4382630568</v>
      </c>
      <c r="W42" s="66">
        <f t="shared" si="7"/>
        <v>470.39608200000004</v>
      </c>
      <c r="X42" s="66">
        <f t="shared" si="7"/>
        <v>471.68272528</v>
      </c>
      <c r="Y42" s="66">
        <f t="shared" si="7"/>
        <v>477.79428086000001</v>
      </c>
      <c r="Z42" s="66">
        <f t="shared" si="7"/>
        <v>476.76496623600002</v>
      </c>
      <c r="AA42" s="66">
        <f t="shared" si="7"/>
        <v>486.51772229840003</v>
      </c>
      <c r="AB42" s="66">
        <f t="shared" si="7"/>
        <v>496.25761192800002</v>
      </c>
      <c r="AC42" s="66">
        <f t="shared" si="7"/>
        <v>498.80516562240007</v>
      </c>
      <c r="AD42" s="66">
        <f t="shared" si="7"/>
        <v>492.34621635680003</v>
      </c>
      <c r="AE42" s="66">
        <f t="shared" si="7"/>
        <v>496.34767695760002</v>
      </c>
      <c r="AF42" s="66">
        <f t="shared" si="7"/>
        <v>501.84164376320001</v>
      </c>
      <c r="AG42" s="66">
        <f t="shared" si="7"/>
        <v>497.62145380480001</v>
      </c>
      <c r="AH42" s="66">
        <f t="shared" si="7"/>
        <v>507.67013782160006</v>
      </c>
      <c r="AI42" s="66">
        <f t="shared" si="10"/>
        <v>512.05759140639998</v>
      </c>
      <c r="AJ42" s="66">
        <f t="shared" si="10"/>
        <v>522.10627542320003</v>
      </c>
      <c r="AK42" s="66">
        <f t="shared" si="10"/>
        <v>518.13054768799998</v>
      </c>
      <c r="AL42" s="66">
        <f t="shared" si="10"/>
        <v>510.15335935200005</v>
      </c>
      <c r="AM42" s="66">
        <f t="shared" si="10"/>
        <v>309.56567200000001</v>
      </c>
      <c r="AN42" s="66">
        <f t="shared" si="10"/>
        <v>309.56567200000001</v>
      </c>
      <c r="AO42" s="66">
        <f t="shared" si="10"/>
        <v>309.56567200000001</v>
      </c>
      <c r="AP42" s="66">
        <f t="shared" si="10"/>
        <v>309.56567200000001</v>
      </c>
      <c r="AQ42" s="66">
        <f t="shared" si="10"/>
        <v>309.56567200000001</v>
      </c>
      <c r="AR42" s="66">
        <f t="shared" si="10"/>
        <v>309.56567200000001</v>
      </c>
      <c r="AS42" s="66">
        <f t="shared" si="10"/>
        <v>309.56567200000001</v>
      </c>
      <c r="AT42" s="66">
        <f t="shared" si="10"/>
        <v>309.56567200000001</v>
      </c>
      <c r="AU42" s="66">
        <f t="shared" si="10"/>
        <v>309.56567200000001</v>
      </c>
      <c r="AV42" s="66">
        <f t="shared" si="10"/>
        <v>309.56567200000001</v>
      </c>
      <c r="AW42" s="66">
        <f t="shared" si="10"/>
        <v>309.56567200000001</v>
      </c>
      <c r="AX42" s="66">
        <f t="shared" si="10"/>
        <v>309.56567200000001</v>
      </c>
      <c r="AY42" s="66">
        <f t="shared" si="11"/>
        <v>309.56567200000001</v>
      </c>
      <c r="AZ42" s="66">
        <f t="shared" si="11"/>
        <v>309.56567200000001</v>
      </c>
      <c r="BA42" s="66">
        <f t="shared" si="11"/>
        <v>309.56567200000001</v>
      </c>
      <c r="BB42" s="66">
        <f t="shared" si="11"/>
        <v>309.56567200000001</v>
      </c>
      <c r="BC42" s="66">
        <f t="shared" si="11"/>
        <v>309.56567200000001</v>
      </c>
      <c r="BD42" s="66">
        <f t="shared" si="11"/>
        <v>309.56567200000001</v>
      </c>
      <c r="BE42" s="66">
        <f t="shared" si="11"/>
        <v>309.56567200000001</v>
      </c>
      <c r="BF42" s="66">
        <f t="shared" si="11"/>
        <v>309.56567200000001</v>
      </c>
      <c r="BG42" s="66">
        <f t="shared" si="11"/>
        <v>309.56567200000001</v>
      </c>
      <c r="BH42" s="66">
        <f t="shared" si="11"/>
        <v>309.56567200000001</v>
      </c>
      <c r="BI42" s="66">
        <f t="shared" si="11"/>
        <v>309.56567200000001</v>
      </c>
      <c r="BJ42" s="66" t="e">
        <f t="shared" si="11"/>
        <v>#DIV/0!</v>
      </c>
      <c r="BK42" s="66" t="e">
        <f t="shared" si="11"/>
        <v>#DIV/0!</v>
      </c>
      <c r="BL42" s="66" t="e">
        <f t="shared" si="11"/>
        <v>#DIV/0!</v>
      </c>
      <c r="BM42" s="66" t="e">
        <f t="shared" si="11"/>
        <v>#DIV/0!</v>
      </c>
    </row>
    <row r="43" spans="2:66" x14ac:dyDescent="0.25">
      <c r="B43" s="5" t="s">
        <v>40</v>
      </c>
      <c r="C43" s="5" t="s">
        <v>176</v>
      </c>
      <c r="D43" s="5" t="s">
        <v>79</v>
      </c>
      <c r="E43" s="5" t="s">
        <v>40</v>
      </c>
      <c r="F43" s="138"/>
      <c r="H43" s="5" t="s">
        <v>40</v>
      </c>
      <c r="I43" s="66">
        <f t="shared" si="8"/>
        <v>0</v>
      </c>
      <c r="J43" s="66">
        <f t="shared" si="9"/>
        <v>0</v>
      </c>
      <c r="K43" s="66">
        <f t="shared" si="9"/>
        <v>0</v>
      </c>
      <c r="L43" s="66">
        <f t="shared" si="7"/>
        <v>0</v>
      </c>
      <c r="M43" s="66">
        <f t="shared" si="7"/>
        <v>0</v>
      </c>
      <c r="N43" s="66">
        <f t="shared" si="7"/>
        <v>0</v>
      </c>
      <c r="O43" s="66">
        <f t="shared" si="7"/>
        <v>0</v>
      </c>
      <c r="P43" s="66">
        <f t="shared" si="7"/>
        <v>0</v>
      </c>
      <c r="Q43" s="66">
        <f t="shared" si="7"/>
        <v>0</v>
      </c>
      <c r="R43" s="66">
        <f t="shared" si="7"/>
        <v>0</v>
      </c>
      <c r="S43" s="66">
        <f t="shared" si="7"/>
        <v>0</v>
      </c>
      <c r="T43" s="66">
        <f t="shared" si="7"/>
        <v>0</v>
      </c>
      <c r="U43" s="66">
        <f t="shared" si="7"/>
        <v>0</v>
      </c>
      <c r="V43" s="66">
        <f t="shared" si="7"/>
        <v>0</v>
      </c>
      <c r="W43" s="66">
        <f t="shared" si="7"/>
        <v>0</v>
      </c>
      <c r="X43" s="66">
        <f t="shared" si="7"/>
        <v>0</v>
      </c>
      <c r="Y43" s="66">
        <f t="shared" si="7"/>
        <v>0</v>
      </c>
      <c r="Z43" s="66">
        <f t="shared" si="7"/>
        <v>0</v>
      </c>
      <c r="AA43" s="66">
        <f t="shared" si="7"/>
        <v>0</v>
      </c>
      <c r="AB43" s="66">
        <f t="shared" si="7"/>
        <v>0</v>
      </c>
      <c r="AC43" s="66">
        <f t="shared" si="7"/>
        <v>0</v>
      </c>
      <c r="AD43" s="66">
        <f t="shared" si="7"/>
        <v>0</v>
      </c>
      <c r="AE43" s="66">
        <f t="shared" si="7"/>
        <v>0</v>
      </c>
      <c r="AF43" s="66">
        <f t="shared" si="7"/>
        <v>0</v>
      </c>
      <c r="AG43" s="66">
        <f t="shared" si="7"/>
        <v>0</v>
      </c>
      <c r="AH43" s="66">
        <f t="shared" si="7"/>
        <v>0</v>
      </c>
      <c r="AI43" s="66">
        <f t="shared" si="10"/>
        <v>0</v>
      </c>
      <c r="AJ43" s="66">
        <f t="shared" si="10"/>
        <v>0</v>
      </c>
      <c r="AK43" s="66">
        <f t="shared" si="10"/>
        <v>0</v>
      </c>
      <c r="AL43" s="66">
        <f t="shared" si="10"/>
        <v>0</v>
      </c>
      <c r="AM43" s="66">
        <f t="shared" si="10"/>
        <v>0</v>
      </c>
      <c r="AN43" s="66">
        <f t="shared" si="10"/>
        <v>0</v>
      </c>
      <c r="AO43" s="66">
        <f t="shared" si="10"/>
        <v>0</v>
      </c>
      <c r="AP43" s="66">
        <f t="shared" si="10"/>
        <v>0</v>
      </c>
      <c r="AQ43" s="66">
        <f t="shared" si="10"/>
        <v>0</v>
      </c>
      <c r="AR43" s="66">
        <f t="shared" si="10"/>
        <v>0</v>
      </c>
      <c r="AS43" s="66">
        <f t="shared" si="10"/>
        <v>0</v>
      </c>
      <c r="AT43" s="66">
        <f t="shared" si="10"/>
        <v>0</v>
      </c>
      <c r="AU43" s="66">
        <f t="shared" si="10"/>
        <v>0</v>
      </c>
      <c r="AV43" s="66">
        <f t="shared" si="10"/>
        <v>0</v>
      </c>
      <c r="AW43" s="66">
        <f t="shared" si="10"/>
        <v>0</v>
      </c>
      <c r="AX43" s="66">
        <f t="shared" si="10"/>
        <v>0</v>
      </c>
      <c r="AY43" s="66">
        <f t="shared" si="11"/>
        <v>0</v>
      </c>
      <c r="AZ43" s="66">
        <f t="shared" si="11"/>
        <v>0</v>
      </c>
      <c r="BA43" s="66">
        <f t="shared" si="11"/>
        <v>0</v>
      </c>
      <c r="BB43" s="66">
        <f t="shared" si="11"/>
        <v>0</v>
      </c>
      <c r="BC43" s="66">
        <f t="shared" si="11"/>
        <v>0</v>
      </c>
      <c r="BD43" s="66">
        <f t="shared" si="11"/>
        <v>0</v>
      </c>
      <c r="BE43" s="66">
        <f t="shared" si="11"/>
        <v>0</v>
      </c>
      <c r="BF43" s="66">
        <f t="shared" si="11"/>
        <v>0</v>
      </c>
      <c r="BG43" s="66">
        <f t="shared" si="11"/>
        <v>0</v>
      </c>
      <c r="BH43" s="66">
        <f t="shared" si="11"/>
        <v>0</v>
      </c>
      <c r="BI43" s="66">
        <f t="shared" si="11"/>
        <v>0</v>
      </c>
      <c r="BJ43" s="66" t="e">
        <f t="shared" si="11"/>
        <v>#DIV/0!</v>
      </c>
      <c r="BK43" s="66" t="e">
        <f t="shared" si="11"/>
        <v>#DIV/0!</v>
      </c>
      <c r="BL43" s="66" t="e">
        <f t="shared" si="11"/>
        <v>#DIV/0!</v>
      </c>
      <c r="BM43" s="66" t="e">
        <f t="shared" si="11"/>
        <v>#DIV/0!</v>
      </c>
    </row>
    <row r="44" spans="2:66" x14ac:dyDescent="0.25">
      <c r="B44" s="156" t="s">
        <v>43</v>
      </c>
      <c r="C44" s="5" t="s">
        <v>177</v>
      </c>
      <c r="D44" s="5" t="s">
        <v>79</v>
      </c>
      <c r="E44" s="5" t="s">
        <v>43</v>
      </c>
      <c r="F44" s="159">
        <v>485.26</v>
      </c>
      <c r="H44" s="5" t="s">
        <v>43</v>
      </c>
      <c r="I44" s="66">
        <f t="shared" si="8"/>
        <v>551.96554771520005</v>
      </c>
      <c r="J44" s="66">
        <f t="shared" si="9"/>
        <v>557.62169945439996</v>
      </c>
      <c r="K44" s="66">
        <f t="shared" si="9"/>
        <v>559.91550406400006</v>
      </c>
      <c r="L44" s="66">
        <f t="shared" si="7"/>
        <v>561.38296912479996</v>
      </c>
      <c r="M44" s="66">
        <f t="shared" si="7"/>
        <v>546.9790159552</v>
      </c>
      <c r="N44" s="66">
        <f t="shared" si="7"/>
        <v>538.80110386880006</v>
      </c>
      <c r="O44" s="66">
        <f t="shared" si="7"/>
        <v>550.68329669119998</v>
      </c>
      <c r="P44" s="66">
        <f t="shared" si="7"/>
        <v>544.44300837439994</v>
      </c>
      <c r="Q44" s="66">
        <f t="shared" si="7"/>
        <v>541.16614464639997</v>
      </c>
      <c r="R44" s="66">
        <f t="shared" si="7"/>
        <v>544.42876114080002</v>
      </c>
      <c r="S44" s="66">
        <f t="shared" si="7"/>
        <v>534.21349464960008</v>
      </c>
      <c r="T44" s="66">
        <f t="shared" si="7"/>
        <v>534.78338399359995</v>
      </c>
      <c r="U44" s="66">
        <f t="shared" si="7"/>
        <v>532.37560151519995</v>
      </c>
      <c r="V44" s="66">
        <f t="shared" si="7"/>
        <v>522.03210992159995</v>
      </c>
      <c r="W44" s="66">
        <f t="shared" si="7"/>
        <v>520.87808399999994</v>
      </c>
      <c r="X44" s="66">
        <f t="shared" si="7"/>
        <v>522.30280735999997</v>
      </c>
      <c r="Y44" s="66">
        <f t="shared" si="7"/>
        <v>529.07024332000003</v>
      </c>
      <c r="Z44" s="66">
        <f t="shared" si="7"/>
        <v>527.93046463199994</v>
      </c>
      <c r="AA44" s="66">
        <f t="shared" si="7"/>
        <v>538.72986770080001</v>
      </c>
      <c r="AB44" s="66">
        <f t="shared" si="7"/>
        <v>549.51502353599994</v>
      </c>
      <c r="AC44" s="66">
        <f t="shared" ref="AC44:AH44" si="12">($F44*AC$12)+$F44</f>
        <v>552.33597578880006</v>
      </c>
      <c r="AD44" s="66">
        <f t="shared" si="12"/>
        <v>545.18386452159996</v>
      </c>
      <c r="AE44" s="66">
        <f t="shared" si="12"/>
        <v>549.61475417119993</v>
      </c>
      <c r="AF44" s="66">
        <f t="shared" si="12"/>
        <v>555.69832291839998</v>
      </c>
      <c r="AG44" s="66">
        <f t="shared" si="12"/>
        <v>551.02523029760005</v>
      </c>
      <c r="AH44" s="66">
        <f t="shared" si="12"/>
        <v>562.15231973920004</v>
      </c>
      <c r="AI44" s="66">
        <f t="shared" si="10"/>
        <v>567.01062639680003</v>
      </c>
      <c r="AJ44" s="66">
        <f t="shared" si="10"/>
        <v>578.13771583840003</v>
      </c>
      <c r="AK44" s="66">
        <f t="shared" si="10"/>
        <v>573.735320656</v>
      </c>
      <c r="AL44" s="66">
        <f t="shared" si="10"/>
        <v>564.902035824</v>
      </c>
      <c r="AM44" s="66">
        <f t="shared" si="10"/>
        <v>342.78766399999995</v>
      </c>
      <c r="AN44" s="66">
        <f t="shared" si="10"/>
        <v>342.78766399999995</v>
      </c>
      <c r="AO44" s="66">
        <f t="shared" si="10"/>
        <v>342.78766399999995</v>
      </c>
      <c r="AP44" s="66">
        <f t="shared" si="10"/>
        <v>342.78766399999995</v>
      </c>
      <c r="AQ44" s="66">
        <f t="shared" si="10"/>
        <v>342.78766399999995</v>
      </c>
      <c r="AR44" s="66">
        <f t="shared" si="10"/>
        <v>342.78766399999995</v>
      </c>
      <c r="AS44" s="66">
        <f t="shared" si="10"/>
        <v>342.78766399999995</v>
      </c>
      <c r="AT44" s="66">
        <f t="shared" si="10"/>
        <v>342.78766399999995</v>
      </c>
      <c r="AU44" s="66">
        <f t="shared" si="10"/>
        <v>342.78766399999995</v>
      </c>
      <c r="AV44" s="66">
        <f t="shared" si="10"/>
        <v>342.78766399999995</v>
      </c>
      <c r="AW44" s="66">
        <f t="shared" si="10"/>
        <v>342.78766399999995</v>
      </c>
      <c r="AX44" s="66">
        <f t="shared" si="10"/>
        <v>342.78766399999995</v>
      </c>
      <c r="AY44" s="66">
        <f t="shared" si="11"/>
        <v>342.78766399999995</v>
      </c>
      <c r="AZ44" s="66">
        <f t="shared" si="11"/>
        <v>342.78766399999995</v>
      </c>
      <c r="BA44" s="66">
        <f t="shared" si="11"/>
        <v>342.78766399999995</v>
      </c>
      <c r="BB44" s="66">
        <f t="shared" si="11"/>
        <v>342.78766399999995</v>
      </c>
      <c r="BC44" s="66">
        <f t="shared" si="11"/>
        <v>342.78766399999995</v>
      </c>
      <c r="BD44" s="66">
        <f t="shared" si="11"/>
        <v>342.78766399999995</v>
      </c>
      <c r="BE44" s="66">
        <f t="shared" si="11"/>
        <v>342.78766399999995</v>
      </c>
      <c r="BF44" s="66">
        <f t="shared" si="11"/>
        <v>342.78766399999995</v>
      </c>
      <c r="BG44" s="66">
        <f t="shared" si="11"/>
        <v>342.78766399999995</v>
      </c>
      <c r="BH44" s="66">
        <f t="shared" si="11"/>
        <v>342.78766399999995</v>
      </c>
      <c r="BI44" s="66">
        <f t="shared" si="11"/>
        <v>342.78766399999995</v>
      </c>
      <c r="BJ44" s="66" t="e">
        <f t="shared" si="11"/>
        <v>#DIV/0!</v>
      </c>
      <c r="BK44" s="66" t="e">
        <f t="shared" si="11"/>
        <v>#DIV/0!</v>
      </c>
      <c r="BL44" s="66" t="e">
        <f t="shared" si="11"/>
        <v>#DIV/0!</v>
      </c>
      <c r="BM44" s="66" t="e">
        <f t="shared" si="11"/>
        <v>#DIV/0!</v>
      </c>
    </row>
    <row r="45" spans="2:66" x14ac:dyDescent="0.25">
      <c r="B45" s="156" t="s">
        <v>44</v>
      </c>
      <c r="C45" s="5" t="s">
        <v>177</v>
      </c>
      <c r="D45" s="5" t="s">
        <v>79</v>
      </c>
      <c r="E45" s="5" t="s">
        <v>44</v>
      </c>
      <c r="F45" s="159">
        <v>433.26</v>
      </c>
      <c r="H45" s="5" t="s">
        <v>44</v>
      </c>
      <c r="I45" s="66">
        <f t="shared" si="8"/>
        <v>492.81744467520002</v>
      </c>
      <c r="J45" s="66">
        <f t="shared" si="9"/>
        <v>497.8674885744</v>
      </c>
      <c r="K45" s="66">
        <f t="shared" si="9"/>
        <v>499.91549126400002</v>
      </c>
      <c r="L45" s="66">
        <f t="shared" si="9"/>
        <v>501.22570416479999</v>
      </c>
      <c r="M45" s="66">
        <f t="shared" si="9"/>
        <v>488.36526491519999</v>
      </c>
      <c r="N45" s="66">
        <f t="shared" si="9"/>
        <v>481.06369010880002</v>
      </c>
      <c r="O45" s="66">
        <f t="shared" si="9"/>
        <v>491.67259845119997</v>
      </c>
      <c r="P45" s="66">
        <f t="shared" si="9"/>
        <v>486.10101349439998</v>
      </c>
      <c r="Q45" s="66">
        <f t="shared" si="9"/>
        <v>483.17529536640001</v>
      </c>
      <c r="R45" s="66">
        <f t="shared" si="9"/>
        <v>486.08829298080002</v>
      </c>
      <c r="S45" s="66">
        <f t="shared" si="9"/>
        <v>476.96768472960002</v>
      </c>
      <c r="T45" s="66">
        <f t="shared" si="9"/>
        <v>477.47650527359997</v>
      </c>
      <c r="U45" s="66">
        <f t="shared" si="9"/>
        <v>475.32673847519999</v>
      </c>
      <c r="V45" s="66">
        <f t="shared" si="9"/>
        <v>466.09164560160002</v>
      </c>
      <c r="W45" s="66">
        <f t="shared" si="9"/>
        <v>465.061284</v>
      </c>
      <c r="X45" s="66">
        <f t="shared" si="9"/>
        <v>466.33333535999998</v>
      </c>
      <c r="Y45" s="66">
        <f t="shared" si="9"/>
        <v>472.37557931999999</v>
      </c>
      <c r="Z45" s="66">
        <f t="shared" ref="Z45:AO61" si="13">($F45*Z$12)+$F45</f>
        <v>471.35793823199998</v>
      </c>
      <c r="AA45" s="66">
        <f t="shared" si="13"/>
        <v>481.0000875408</v>
      </c>
      <c r="AB45" s="66">
        <f t="shared" si="13"/>
        <v>490.62951633599999</v>
      </c>
      <c r="AC45" s="66">
        <f t="shared" si="13"/>
        <v>493.14817802880003</v>
      </c>
      <c r="AD45" s="66">
        <f t="shared" si="13"/>
        <v>486.7624802016</v>
      </c>
      <c r="AE45" s="66">
        <f t="shared" si="13"/>
        <v>490.71855993119999</v>
      </c>
      <c r="AF45" s="66">
        <f t="shared" si="13"/>
        <v>496.15021923839998</v>
      </c>
      <c r="AG45" s="66">
        <f t="shared" si="13"/>
        <v>491.97789077760001</v>
      </c>
      <c r="AH45" s="66">
        <f t="shared" si="13"/>
        <v>501.91261189919999</v>
      </c>
      <c r="AI45" s="66">
        <f t="shared" si="10"/>
        <v>506.2503070368</v>
      </c>
      <c r="AJ45" s="66">
        <f t="shared" si="10"/>
        <v>516.18502815839997</v>
      </c>
      <c r="AK45" s="66">
        <f t="shared" si="10"/>
        <v>512.25438945600001</v>
      </c>
      <c r="AL45" s="66">
        <f t="shared" si="10"/>
        <v>504.367671024</v>
      </c>
      <c r="AM45" s="66">
        <f t="shared" si="10"/>
        <v>306.05486399999995</v>
      </c>
      <c r="AN45" s="66">
        <f t="shared" si="10"/>
        <v>306.05486399999995</v>
      </c>
      <c r="AO45" s="66">
        <f t="shared" si="10"/>
        <v>306.05486399999995</v>
      </c>
      <c r="AP45" s="66">
        <f t="shared" si="10"/>
        <v>306.05486399999995</v>
      </c>
      <c r="AQ45" s="66">
        <f t="shared" si="10"/>
        <v>306.05486399999995</v>
      </c>
      <c r="AR45" s="66">
        <f t="shared" si="10"/>
        <v>306.05486399999995</v>
      </c>
      <c r="AS45" s="66">
        <f t="shared" si="10"/>
        <v>306.05486399999995</v>
      </c>
      <c r="AT45" s="66">
        <f t="shared" si="10"/>
        <v>306.05486399999995</v>
      </c>
      <c r="AU45" s="66">
        <f t="shared" si="10"/>
        <v>306.05486399999995</v>
      </c>
      <c r="AV45" s="66">
        <f t="shared" si="10"/>
        <v>306.05486399999995</v>
      </c>
      <c r="AW45" s="66">
        <f t="shared" si="10"/>
        <v>306.05486399999995</v>
      </c>
      <c r="AX45" s="66">
        <f t="shared" si="10"/>
        <v>306.05486399999995</v>
      </c>
      <c r="AY45" s="66">
        <f t="shared" si="11"/>
        <v>306.05486399999995</v>
      </c>
      <c r="AZ45" s="66">
        <f t="shared" si="11"/>
        <v>306.05486399999995</v>
      </c>
      <c r="BA45" s="66">
        <f t="shared" si="11"/>
        <v>306.05486399999995</v>
      </c>
      <c r="BB45" s="66">
        <f t="shared" si="11"/>
        <v>306.05486399999995</v>
      </c>
      <c r="BC45" s="66">
        <f t="shared" si="11"/>
        <v>306.05486399999995</v>
      </c>
      <c r="BD45" s="66">
        <f t="shared" si="11"/>
        <v>306.05486399999995</v>
      </c>
      <c r="BE45" s="66">
        <f t="shared" si="11"/>
        <v>306.05486399999995</v>
      </c>
      <c r="BF45" s="66">
        <f t="shared" si="11"/>
        <v>306.05486399999995</v>
      </c>
      <c r="BG45" s="66">
        <f t="shared" si="11"/>
        <v>306.05486399999995</v>
      </c>
      <c r="BH45" s="66">
        <f t="shared" si="11"/>
        <v>306.05486399999995</v>
      </c>
      <c r="BI45" s="66">
        <f t="shared" si="11"/>
        <v>306.05486399999995</v>
      </c>
      <c r="BJ45" s="66" t="e">
        <f t="shared" si="11"/>
        <v>#DIV/0!</v>
      </c>
      <c r="BK45" s="66" t="e">
        <f t="shared" si="11"/>
        <v>#DIV/0!</v>
      </c>
      <c r="BL45" s="66" t="e">
        <f t="shared" si="11"/>
        <v>#DIV/0!</v>
      </c>
      <c r="BM45" s="66" t="e">
        <f t="shared" si="11"/>
        <v>#DIV/0!</v>
      </c>
    </row>
    <row r="46" spans="2:66" x14ac:dyDescent="0.25">
      <c r="B46" s="156" t="s">
        <v>45</v>
      </c>
      <c r="C46" s="5" t="s">
        <v>177</v>
      </c>
      <c r="D46" s="5" t="s">
        <v>79</v>
      </c>
      <c r="E46" s="5" t="s">
        <v>45</v>
      </c>
      <c r="F46" s="159">
        <v>317.72000000000003</v>
      </c>
      <c r="H46" s="5" t="s">
        <v>45</v>
      </c>
      <c r="I46" s="66">
        <f t="shared" si="8"/>
        <v>361.3949095744</v>
      </c>
      <c r="J46" s="66">
        <f t="shared" si="9"/>
        <v>365.09822847680005</v>
      </c>
      <c r="K46" s="66">
        <f t="shared" si="9"/>
        <v>366.60007820800001</v>
      </c>
      <c r="L46" s="66">
        <f t="shared" si="9"/>
        <v>367.56088890560005</v>
      </c>
      <c r="M46" s="66">
        <f t="shared" si="9"/>
        <v>358.13001885440002</v>
      </c>
      <c r="N46" s="66">
        <f t="shared" si="9"/>
        <v>352.77559807360007</v>
      </c>
      <c r="O46" s="66">
        <f t="shared" si="9"/>
        <v>360.55536624640001</v>
      </c>
      <c r="P46" s="66">
        <f t="shared" si="9"/>
        <v>356.46958871680005</v>
      </c>
      <c r="Q46" s="66">
        <f t="shared" si="9"/>
        <v>354.32408910080005</v>
      </c>
      <c r="R46" s="66">
        <f t="shared" si="9"/>
        <v>356.46026045760004</v>
      </c>
      <c r="S46" s="66">
        <f t="shared" si="9"/>
        <v>349.77189861120007</v>
      </c>
      <c r="T46" s="66">
        <f t="shared" si="9"/>
        <v>350.14502897920005</v>
      </c>
      <c r="U46" s="66">
        <f t="shared" si="9"/>
        <v>348.56855317440005</v>
      </c>
      <c r="V46" s="66">
        <f t="shared" si="9"/>
        <v>341.79623699520005</v>
      </c>
      <c r="W46" s="66">
        <f t="shared" si="9"/>
        <v>341.04064800000003</v>
      </c>
      <c r="X46" s="66">
        <f t="shared" si="9"/>
        <v>341.97347392</v>
      </c>
      <c r="Y46" s="66">
        <f t="shared" si="9"/>
        <v>346.40439704000005</v>
      </c>
      <c r="Z46" s="66">
        <f t="shared" si="13"/>
        <v>345.65813630400004</v>
      </c>
      <c r="AA46" s="66">
        <f t="shared" si="13"/>
        <v>352.72895677760005</v>
      </c>
      <c r="AB46" s="66">
        <f t="shared" si="13"/>
        <v>359.79044899200005</v>
      </c>
      <c r="AC46" s="66">
        <f t="shared" si="13"/>
        <v>361.63744431360004</v>
      </c>
      <c r="AD46" s="66">
        <f t="shared" si="13"/>
        <v>356.95465819520001</v>
      </c>
      <c r="AE46" s="66">
        <f t="shared" si="13"/>
        <v>359.85574680640002</v>
      </c>
      <c r="AF46" s="66">
        <f t="shared" si="13"/>
        <v>363.83891348480006</v>
      </c>
      <c r="AG46" s="66">
        <f t="shared" si="13"/>
        <v>360.77924446720004</v>
      </c>
      <c r="AH46" s="66">
        <f t="shared" si="13"/>
        <v>368.06461490240002</v>
      </c>
      <c r="AI46" s="66">
        <f t="shared" si="10"/>
        <v>371.24555128960003</v>
      </c>
      <c r="AJ46" s="66">
        <f t="shared" si="10"/>
        <v>378.53092172480001</v>
      </c>
      <c r="AK46" s="66">
        <f t="shared" si="10"/>
        <v>375.64848963200006</v>
      </c>
      <c r="AL46" s="66">
        <f t="shared" si="10"/>
        <v>369.86496892800005</v>
      </c>
      <c r="AM46" s="66">
        <f t="shared" si="10"/>
        <v>224.437408</v>
      </c>
      <c r="AN46" s="66">
        <f t="shared" si="10"/>
        <v>224.437408</v>
      </c>
      <c r="AO46" s="66">
        <f t="shared" si="10"/>
        <v>224.437408</v>
      </c>
      <c r="AP46" s="66">
        <f t="shared" si="10"/>
        <v>224.437408</v>
      </c>
      <c r="AQ46" s="66">
        <f t="shared" si="10"/>
        <v>224.437408</v>
      </c>
      <c r="AR46" s="66">
        <f t="shared" si="10"/>
        <v>224.437408</v>
      </c>
      <c r="AS46" s="66">
        <f t="shared" si="10"/>
        <v>224.437408</v>
      </c>
      <c r="AT46" s="66">
        <f t="shared" si="10"/>
        <v>224.437408</v>
      </c>
      <c r="AU46" s="66">
        <f t="shared" si="10"/>
        <v>224.437408</v>
      </c>
      <c r="AV46" s="66">
        <f t="shared" si="10"/>
        <v>224.437408</v>
      </c>
      <c r="AW46" s="66">
        <f t="shared" si="10"/>
        <v>224.437408</v>
      </c>
      <c r="AX46" s="66">
        <f t="shared" si="10"/>
        <v>224.437408</v>
      </c>
      <c r="AY46" s="66">
        <f t="shared" si="11"/>
        <v>224.437408</v>
      </c>
      <c r="AZ46" s="66">
        <f t="shared" si="11"/>
        <v>224.437408</v>
      </c>
      <c r="BA46" s="66">
        <f t="shared" si="11"/>
        <v>224.437408</v>
      </c>
      <c r="BB46" s="66">
        <f t="shared" si="11"/>
        <v>224.437408</v>
      </c>
      <c r="BC46" s="66">
        <f t="shared" si="11"/>
        <v>224.437408</v>
      </c>
      <c r="BD46" s="66">
        <f t="shared" si="11"/>
        <v>224.437408</v>
      </c>
      <c r="BE46" s="66">
        <f t="shared" si="11"/>
        <v>224.437408</v>
      </c>
      <c r="BF46" s="66">
        <f t="shared" si="11"/>
        <v>224.437408</v>
      </c>
      <c r="BG46" s="66">
        <f t="shared" si="11"/>
        <v>224.437408</v>
      </c>
      <c r="BH46" s="66">
        <f t="shared" si="11"/>
        <v>224.437408</v>
      </c>
      <c r="BI46" s="66">
        <f t="shared" si="11"/>
        <v>224.437408</v>
      </c>
      <c r="BJ46" s="66" t="e">
        <f t="shared" si="11"/>
        <v>#DIV/0!</v>
      </c>
      <c r="BK46" s="66" t="e">
        <f t="shared" si="11"/>
        <v>#DIV/0!</v>
      </c>
      <c r="BL46" s="66" t="e">
        <f t="shared" si="11"/>
        <v>#DIV/0!</v>
      </c>
      <c r="BM46" s="66" t="e">
        <f t="shared" si="11"/>
        <v>#DIV/0!</v>
      </c>
    </row>
    <row r="47" spans="2:66" x14ac:dyDescent="0.25">
      <c r="B47" s="156" t="s">
        <v>192</v>
      </c>
      <c r="C47" s="5" t="s">
        <v>177</v>
      </c>
      <c r="D47" s="5" t="s">
        <v>79</v>
      </c>
      <c r="E47" s="5" t="s">
        <v>192</v>
      </c>
      <c r="F47" s="159">
        <v>287.01</v>
      </c>
      <c r="H47" s="5" t="s">
        <v>192</v>
      </c>
      <c r="I47" s="66">
        <f t="shared" si="8"/>
        <v>326.46340487520001</v>
      </c>
      <c r="J47" s="66">
        <f t="shared" si="9"/>
        <v>329.80877047439998</v>
      </c>
      <c r="K47" s="66">
        <f t="shared" si="9"/>
        <v>331.165455264</v>
      </c>
      <c r="L47" s="66">
        <f t="shared" si="9"/>
        <v>332.03339646479998</v>
      </c>
      <c r="M47" s="66">
        <f t="shared" si="9"/>
        <v>323.51409011520002</v>
      </c>
      <c r="N47" s="66">
        <f t="shared" si="9"/>
        <v>318.67721390880001</v>
      </c>
      <c r="O47" s="66">
        <f t="shared" si="9"/>
        <v>325.70500965119999</v>
      </c>
      <c r="P47" s="66">
        <f t="shared" si="9"/>
        <v>322.01415289440001</v>
      </c>
      <c r="Q47" s="66">
        <f t="shared" si="9"/>
        <v>320.07603176639998</v>
      </c>
      <c r="R47" s="66">
        <f t="shared" si="9"/>
        <v>322.00572628079999</v>
      </c>
      <c r="S47" s="66">
        <f t="shared" si="9"/>
        <v>315.96384432960002</v>
      </c>
      <c r="T47" s="66">
        <f t="shared" si="9"/>
        <v>316.30090887360001</v>
      </c>
      <c r="U47" s="66">
        <f t="shared" si="9"/>
        <v>314.87681117519998</v>
      </c>
      <c r="V47" s="66">
        <f t="shared" si="9"/>
        <v>308.75908970159998</v>
      </c>
      <c r="W47" s="66">
        <f t="shared" si="9"/>
        <v>308.07653399999998</v>
      </c>
      <c r="X47" s="66">
        <f t="shared" si="9"/>
        <v>308.91919536</v>
      </c>
      <c r="Y47" s="66">
        <f t="shared" si="9"/>
        <v>312.92183682000001</v>
      </c>
      <c r="Z47" s="66">
        <f t="shared" si="13"/>
        <v>312.24770773199998</v>
      </c>
      <c r="AA47" s="66">
        <f t="shared" si="13"/>
        <v>318.63508084080001</v>
      </c>
      <c r="AB47" s="66">
        <f t="shared" si="13"/>
        <v>325.01402733599997</v>
      </c>
      <c r="AC47" s="66">
        <f t="shared" si="13"/>
        <v>326.68249682880003</v>
      </c>
      <c r="AD47" s="66">
        <f t="shared" si="13"/>
        <v>322.45233680159998</v>
      </c>
      <c r="AE47" s="66">
        <f t="shared" si="13"/>
        <v>325.07301363119996</v>
      </c>
      <c r="AF47" s="66">
        <f t="shared" si="13"/>
        <v>328.67117763839997</v>
      </c>
      <c r="AG47" s="66">
        <f t="shared" si="13"/>
        <v>325.90724837760001</v>
      </c>
      <c r="AH47" s="66">
        <f t="shared" si="13"/>
        <v>332.48843359919999</v>
      </c>
      <c r="AI47" s="66">
        <f t="shared" si="10"/>
        <v>335.36190883680001</v>
      </c>
      <c r="AJ47" s="66">
        <f t="shared" si="10"/>
        <v>341.94309405839999</v>
      </c>
      <c r="AK47" s="66">
        <f t="shared" si="10"/>
        <v>339.33927045600001</v>
      </c>
      <c r="AL47" s="66">
        <f t="shared" si="10"/>
        <v>334.11477002399999</v>
      </c>
      <c r="AM47" s="66">
        <f t="shared" si="10"/>
        <v>202.74386399999997</v>
      </c>
      <c r="AN47" s="66">
        <f t="shared" si="10"/>
        <v>202.74386399999997</v>
      </c>
      <c r="AO47" s="66">
        <f t="shared" si="10"/>
        <v>202.74386399999997</v>
      </c>
      <c r="AP47" s="66">
        <f t="shared" si="10"/>
        <v>202.74386399999997</v>
      </c>
      <c r="AQ47" s="66">
        <f t="shared" si="10"/>
        <v>202.74386399999997</v>
      </c>
      <c r="AR47" s="66">
        <f t="shared" si="10"/>
        <v>202.74386399999997</v>
      </c>
      <c r="AS47" s="66">
        <f t="shared" si="10"/>
        <v>202.74386399999997</v>
      </c>
      <c r="AT47" s="66">
        <f t="shared" si="10"/>
        <v>202.74386399999997</v>
      </c>
      <c r="AU47" s="66">
        <f t="shared" si="10"/>
        <v>202.74386399999997</v>
      </c>
      <c r="AV47" s="66">
        <f t="shared" si="10"/>
        <v>202.74386399999997</v>
      </c>
      <c r="AW47" s="66">
        <f t="shared" si="10"/>
        <v>202.74386399999997</v>
      </c>
      <c r="AX47" s="66">
        <f t="shared" si="10"/>
        <v>202.74386399999997</v>
      </c>
      <c r="AY47" s="66">
        <f t="shared" si="11"/>
        <v>202.74386399999997</v>
      </c>
      <c r="AZ47" s="66">
        <f t="shared" si="11"/>
        <v>202.74386399999997</v>
      </c>
      <c r="BA47" s="66">
        <f t="shared" si="11"/>
        <v>202.74386399999997</v>
      </c>
      <c r="BB47" s="66">
        <f t="shared" si="11"/>
        <v>202.74386399999997</v>
      </c>
      <c r="BC47" s="66">
        <f t="shared" si="11"/>
        <v>202.74386399999997</v>
      </c>
      <c r="BD47" s="66">
        <f t="shared" si="11"/>
        <v>202.74386399999997</v>
      </c>
      <c r="BE47" s="66">
        <f t="shared" si="11"/>
        <v>202.74386399999997</v>
      </c>
      <c r="BF47" s="66">
        <f t="shared" si="11"/>
        <v>202.74386399999997</v>
      </c>
      <c r="BG47" s="66">
        <f t="shared" si="11"/>
        <v>202.74386399999997</v>
      </c>
      <c r="BH47" s="66">
        <f t="shared" si="11"/>
        <v>202.74386399999997</v>
      </c>
      <c r="BI47" s="66">
        <f t="shared" si="11"/>
        <v>202.74386399999997</v>
      </c>
      <c r="BJ47" s="66" t="e">
        <f t="shared" si="11"/>
        <v>#DIV/0!</v>
      </c>
      <c r="BK47" s="66" t="e">
        <f t="shared" si="11"/>
        <v>#DIV/0!</v>
      </c>
      <c r="BL47" s="66" t="e">
        <f t="shared" si="11"/>
        <v>#DIV/0!</v>
      </c>
      <c r="BM47" s="66" t="e">
        <f t="shared" si="11"/>
        <v>#DIV/0!</v>
      </c>
    </row>
    <row r="48" spans="2:66" x14ac:dyDescent="0.25">
      <c r="B48" s="156" t="s">
        <v>191</v>
      </c>
      <c r="C48" s="5" t="s">
        <v>177</v>
      </c>
      <c r="D48" s="5" t="s">
        <v>79</v>
      </c>
      <c r="E48" s="5" t="s">
        <v>191</v>
      </c>
      <c r="F48" s="159">
        <v>433.26</v>
      </c>
      <c r="H48" s="5" t="s">
        <v>191</v>
      </c>
      <c r="I48" s="66">
        <f t="shared" si="8"/>
        <v>492.81744467520002</v>
      </c>
      <c r="J48" s="66">
        <f t="shared" si="9"/>
        <v>497.8674885744</v>
      </c>
      <c r="K48" s="66">
        <f t="shared" si="9"/>
        <v>499.91549126400002</v>
      </c>
      <c r="L48" s="66">
        <f t="shared" si="9"/>
        <v>501.22570416479999</v>
      </c>
      <c r="M48" s="66">
        <f t="shared" si="9"/>
        <v>488.36526491519999</v>
      </c>
      <c r="N48" s="66">
        <f t="shared" si="9"/>
        <v>481.06369010880002</v>
      </c>
      <c r="O48" s="66">
        <f t="shared" si="9"/>
        <v>491.67259845119997</v>
      </c>
      <c r="P48" s="66">
        <f t="shared" si="9"/>
        <v>486.10101349439998</v>
      </c>
      <c r="Q48" s="66">
        <f t="shared" si="9"/>
        <v>483.17529536640001</v>
      </c>
      <c r="R48" s="66">
        <f t="shared" si="9"/>
        <v>486.08829298080002</v>
      </c>
      <c r="S48" s="66">
        <f t="shared" si="9"/>
        <v>476.96768472960002</v>
      </c>
      <c r="T48" s="66">
        <f t="shared" si="9"/>
        <v>477.47650527359997</v>
      </c>
      <c r="U48" s="66">
        <f t="shared" si="9"/>
        <v>475.32673847519999</v>
      </c>
      <c r="V48" s="66">
        <f t="shared" si="9"/>
        <v>466.09164560160002</v>
      </c>
      <c r="W48" s="66">
        <f t="shared" si="9"/>
        <v>465.061284</v>
      </c>
      <c r="X48" s="66">
        <f t="shared" si="9"/>
        <v>466.33333535999998</v>
      </c>
      <c r="Y48" s="66">
        <f t="shared" si="9"/>
        <v>472.37557931999999</v>
      </c>
      <c r="Z48" s="66">
        <f t="shared" si="13"/>
        <v>471.35793823199998</v>
      </c>
      <c r="AA48" s="66">
        <f t="shared" si="13"/>
        <v>481.0000875408</v>
      </c>
      <c r="AB48" s="66">
        <f t="shared" si="13"/>
        <v>490.62951633599999</v>
      </c>
      <c r="AC48" s="66">
        <f t="shared" si="13"/>
        <v>493.14817802880003</v>
      </c>
      <c r="AD48" s="66">
        <f t="shared" si="13"/>
        <v>486.7624802016</v>
      </c>
      <c r="AE48" s="66">
        <f t="shared" si="13"/>
        <v>490.71855993119999</v>
      </c>
      <c r="AF48" s="66">
        <f t="shared" si="13"/>
        <v>496.15021923839998</v>
      </c>
      <c r="AG48" s="66">
        <f t="shared" si="13"/>
        <v>491.97789077760001</v>
      </c>
      <c r="AH48" s="66">
        <f t="shared" si="13"/>
        <v>501.91261189919999</v>
      </c>
      <c r="AI48" s="66">
        <f t="shared" si="10"/>
        <v>506.2503070368</v>
      </c>
      <c r="AJ48" s="66">
        <f t="shared" si="10"/>
        <v>516.18502815839997</v>
      </c>
      <c r="AK48" s="66">
        <f t="shared" si="10"/>
        <v>512.25438945600001</v>
      </c>
      <c r="AL48" s="66">
        <f t="shared" si="10"/>
        <v>504.367671024</v>
      </c>
      <c r="AM48" s="66">
        <f t="shared" si="10"/>
        <v>306.05486399999995</v>
      </c>
      <c r="AN48" s="66">
        <f t="shared" si="10"/>
        <v>306.05486399999995</v>
      </c>
      <c r="AO48" s="66">
        <f t="shared" si="10"/>
        <v>306.05486399999995</v>
      </c>
      <c r="AP48" s="66">
        <f t="shared" si="10"/>
        <v>306.05486399999995</v>
      </c>
      <c r="AQ48" s="66">
        <f t="shared" si="10"/>
        <v>306.05486399999995</v>
      </c>
      <c r="AR48" s="66">
        <f t="shared" si="10"/>
        <v>306.05486399999995</v>
      </c>
      <c r="AS48" s="66">
        <f t="shared" si="10"/>
        <v>306.05486399999995</v>
      </c>
      <c r="AT48" s="66">
        <f t="shared" si="10"/>
        <v>306.05486399999995</v>
      </c>
      <c r="AU48" s="66">
        <f t="shared" si="10"/>
        <v>306.05486399999995</v>
      </c>
      <c r="AV48" s="66">
        <f t="shared" si="10"/>
        <v>306.05486399999995</v>
      </c>
      <c r="AW48" s="66">
        <f t="shared" si="10"/>
        <v>306.05486399999995</v>
      </c>
      <c r="AX48" s="66">
        <f t="shared" si="10"/>
        <v>306.05486399999995</v>
      </c>
      <c r="AY48" s="66">
        <f t="shared" si="11"/>
        <v>306.05486399999995</v>
      </c>
      <c r="AZ48" s="66">
        <f t="shared" si="11"/>
        <v>306.05486399999995</v>
      </c>
      <c r="BA48" s="66">
        <f t="shared" si="11"/>
        <v>306.05486399999995</v>
      </c>
      <c r="BB48" s="66">
        <f t="shared" si="11"/>
        <v>306.05486399999995</v>
      </c>
      <c r="BC48" s="66">
        <f t="shared" si="11"/>
        <v>306.05486399999995</v>
      </c>
      <c r="BD48" s="66">
        <f t="shared" si="11"/>
        <v>306.05486399999995</v>
      </c>
      <c r="BE48" s="66">
        <f t="shared" si="11"/>
        <v>306.05486399999995</v>
      </c>
      <c r="BF48" s="66">
        <f t="shared" si="11"/>
        <v>306.05486399999995</v>
      </c>
      <c r="BG48" s="66">
        <f t="shared" si="11"/>
        <v>306.05486399999995</v>
      </c>
      <c r="BH48" s="66">
        <f t="shared" si="11"/>
        <v>306.05486399999995</v>
      </c>
      <c r="BI48" s="66">
        <f t="shared" si="11"/>
        <v>306.05486399999995</v>
      </c>
      <c r="BJ48" s="66" t="e">
        <f t="shared" si="11"/>
        <v>#DIV/0!</v>
      </c>
      <c r="BK48" s="66" t="e">
        <f t="shared" si="11"/>
        <v>#DIV/0!</v>
      </c>
      <c r="BL48" s="66" t="e">
        <f t="shared" si="11"/>
        <v>#DIV/0!</v>
      </c>
      <c r="BM48" s="66" t="e">
        <f t="shared" si="11"/>
        <v>#DIV/0!</v>
      </c>
    </row>
    <row r="49" spans="2:65" x14ac:dyDescent="0.25">
      <c r="B49" s="156" t="s">
        <v>48</v>
      </c>
      <c r="C49" s="5" t="s">
        <v>177</v>
      </c>
      <c r="D49" s="5" t="s">
        <v>79</v>
      </c>
      <c r="E49" s="5" t="s">
        <v>48</v>
      </c>
      <c r="F49" s="159">
        <v>287.01</v>
      </c>
      <c r="H49" s="5" t="s">
        <v>201</v>
      </c>
      <c r="I49" s="66">
        <f t="shared" si="8"/>
        <v>326.46340487520001</v>
      </c>
      <c r="J49" s="66">
        <f t="shared" si="9"/>
        <v>329.80877047439998</v>
      </c>
      <c r="K49" s="66">
        <f t="shared" si="9"/>
        <v>331.165455264</v>
      </c>
      <c r="L49" s="66">
        <f t="shared" si="9"/>
        <v>332.03339646479998</v>
      </c>
      <c r="M49" s="66">
        <f t="shared" si="9"/>
        <v>323.51409011520002</v>
      </c>
      <c r="N49" s="66">
        <f t="shared" si="9"/>
        <v>318.67721390880001</v>
      </c>
      <c r="O49" s="66">
        <f t="shared" si="9"/>
        <v>325.70500965119999</v>
      </c>
      <c r="P49" s="66">
        <f t="shared" si="9"/>
        <v>322.01415289440001</v>
      </c>
      <c r="Q49" s="66">
        <f t="shared" si="9"/>
        <v>320.07603176639998</v>
      </c>
      <c r="R49" s="66">
        <f t="shared" si="9"/>
        <v>322.00572628079999</v>
      </c>
      <c r="S49" s="66">
        <f t="shared" si="9"/>
        <v>315.96384432960002</v>
      </c>
      <c r="T49" s="66">
        <f t="shared" si="9"/>
        <v>316.30090887360001</v>
      </c>
      <c r="U49" s="66">
        <f t="shared" si="9"/>
        <v>314.87681117519998</v>
      </c>
      <c r="V49" s="66">
        <f t="shared" si="9"/>
        <v>308.75908970159998</v>
      </c>
      <c r="W49" s="66">
        <f t="shared" si="9"/>
        <v>308.07653399999998</v>
      </c>
      <c r="X49" s="66">
        <f t="shared" si="9"/>
        <v>308.91919536</v>
      </c>
      <c r="Y49" s="66">
        <f t="shared" si="9"/>
        <v>312.92183682000001</v>
      </c>
      <c r="Z49" s="66">
        <f t="shared" si="13"/>
        <v>312.24770773199998</v>
      </c>
      <c r="AA49" s="66">
        <f t="shared" si="13"/>
        <v>318.63508084080001</v>
      </c>
      <c r="AB49" s="66">
        <f t="shared" si="13"/>
        <v>325.01402733599997</v>
      </c>
      <c r="AC49" s="66">
        <f t="shared" si="13"/>
        <v>326.68249682880003</v>
      </c>
      <c r="AD49" s="66">
        <f t="shared" si="13"/>
        <v>322.45233680159998</v>
      </c>
      <c r="AE49" s="66">
        <f t="shared" si="13"/>
        <v>325.07301363119996</v>
      </c>
      <c r="AF49" s="66">
        <f t="shared" si="13"/>
        <v>328.67117763839997</v>
      </c>
      <c r="AG49" s="66">
        <f t="shared" si="13"/>
        <v>325.90724837760001</v>
      </c>
      <c r="AH49" s="66">
        <f t="shared" si="13"/>
        <v>332.48843359919999</v>
      </c>
      <c r="AI49" s="66">
        <f t="shared" si="10"/>
        <v>335.36190883680001</v>
      </c>
      <c r="AJ49" s="66">
        <f t="shared" si="10"/>
        <v>341.94309405839999</v>
      </c>
      <c r="AK49" s="66">
        <f t="shared" si="10"/>
        <v>339.33927045600001</v>
      </c>
      <c r="AL49" s="66">
        <f t="shared" si="10"/>
        <v>334.11477002399999</v>
      </c>
      <c r="AM49" s="66">
        <f t="shared" si="10"/>
        <v>202.74386399999997</v>
      </c>
      <c r="AN49" s="66">
        <f t="shared" si="10"/>
        <v>202.74386399999997</v>
      </c>
      <c r="AO49" s="66">
        <f t="shared" si="10"/>
        <v>202.74386399999997</v>
      </c>
      <c r="AP49" s="66">
        <f t="shared" si="10"/>
        <v>202.74386399999997</v>
      </c>
      <c r="AQ49" s="66">
        <f t="shared" si="10"/>
        <v>202.74386399999997</v>
      </c>
      <c r="AR49" s="66">
        <f t="shared" si="10"/>
        <v>202.74386399999997</v>
      </c>
      <c r="AS49" s="66">
        <f t="shared" si="10"/>
        <v>202.74386399999997</v>
      </c>
      <c r="AT49" s="66">
        <f t="shared" si="10"/>
        <v>202.74386399999997</v>
      </c>
      <c r="AU49" s="66">
        <f t="shared" si="10"/>
        <v>202.74386399999997</v>
      </c>
      <c r="AV49" s="66">
        <f t="shared" si="10"/>
        <v>202.74386399999997</v>
      </c>
      <c r="AW49" s="66">
        <f t="shared" si="10"/>
        <v>202.74386399999997</v>
      </c>
      <c r="AX49" s="66">
        <f t="shared" si="10"/>
        <v>202.74386399999997</v>
      </c>
      <c r="AY49" s="66">
        <f t="shared" si="11"/>
        <v>202.74386399999997</v>
      </c>
      <c r="AZ49" s="66">
        <f t="shared" si="11"/>
        <v>202.74386399999997</v>
      </c>
      <c r="BA49" s="66">
        <f t="shared" si="11"/>
        <v>202.74386399999997</v>
      </c>
      <c r="BB49" s="66">
        <f t="shared" si="11"/>
        <v>202.74386399999997</v>
      </c>
      <c r="BC49" s="66">
        <f t="shared" si="11"/>
        <v>202.74386399999997</v>
      </c>
      <c r="BD49" s="66">
        <f t="shared" si="11"/>
        <v>202.74386399999997</v>
      </c>
      <c r="BE49" s="66">
        <f t="shared" si="11"/>
        <v>202.74386399999997</v>
      </c>
      <c r="BF49" s="66">
        <f t="shared" si="11"/>
        <v>202.74386399999997</v>
      </c>
      <c r="BG49" s="66">
        <f t="shared" si="11"/>
        <v>202.74386399999997</v>
      </c>
      <c r="BH49" s="66">
        <f t="shared" si="11"/>
        <v>202.74386399999997</v>
      </c>
      <c r="BI49" s="66">
        <f t="shared" si="11"/>
        <v>202.74386399999997</v>
      </c>
      <c r="BJ49" s="66" t="e">
        <f t="shared" si="11"/>
        <v>#DIV/0!</v>
      </c>
      <c r="BK49" s="66" t="e">
        <f t="shared" si="11"/>
        <v>#DIV/0!</v>
      </c>
      <c r="BL49" s="66" t="e">
        <f t="shared" si="11"/>
        <v>#DIV/0!</v>
      </c>
      <c r="BM49" s="66" t="e">
        <f t="shared" si="11"/>
        <v>#DIV/0!</v>
      </c>
    </row>
    <row r="50" spans="2:65" x14ac:dyDescent="0.25">
      <c r="B50" s="158" t="s">
        <v>188</v>
      </c>
      <c r="C50" s="5" t="s">
        <v>177</v>
      </c>
      <c r="D50" s="5" t="s">
        <v>79</v>
      </c>
      <c r="E50" s="5" t="s">
        <v>188</v>
      </c>
      <c r="F50" s="159">
        <v>491.1</v>
      </c>
      <c r="H50" s="5" t="s">
        <v>188</v>
      </c>
      <c r="I50" s="66">
        <f t="shared" si="8"/>
        <v>558.60833467200007</v>
      </c>
      <c r="J50" s="66">
        <f t="shared" si="9"/>
        <v>564.33255698400001</v>
      </c>
      <c r="K50" s="66">
        <f t="shared" si="9"/>
        <v>566.65396704</v>
      </c>
      <c r="L50" s="66">
        <f t="shared" si="9"/>
        <v>568.13909272800004</v>
      </c>
      <c r="M50" s="66">
        <f t="shared" si="9"/>
        <v>553.56179107200001</v>
      </c>
      <c r="N50" s="66">
        <f t="shared" si="9"/>
        <v>545.28545956800008</v>
      </c>
      <c r="O50" s="66">
        <f t="shared" si="9"/>
        <v>557.31065203200001</v>
      </c>
      <c r="P50" s="66">
        <f t="shared" si="9"/>
        <v>550.99526318400001</v>
      </c>
      <c r="Q50" s="66">
        <f t="shared" si="9"/>
        <v>547.67896310399999</v>
      </c>
      <c r="R50" s="66">
        <f t="shared" si="9"/>
        <v>550.980844488</v>
      </c>
      <c r="S50" s="66">
        <f t="shared" si="9"/>
        <v>540.6426394560001</v>
      </c>
      <c r="T50" s="66">
        <f t="shared" si="9"/>
        <v>541.21938729600004</v>
      </c>
      <c r="U50" s="66">
        <f t="shared" si="9"/>
        <v>538.78262767199999</v>
      </c>
      <c r="V50" s="66">
        <f t="shared" si="9"/>
        <v>528.31465437600002</v>
      </c>
      <c r="W50" s="66">
        <f t="shared" si="9"/>
        <v>527.14674000000002</v>
      </c>
      <c r="X50" s="66">
        <f t="shared" si="9"/>
        <v>528.58860960000004</v>
      </c>
      <c r="Y50" s="66">
        <f t="shared" si="9"/>
        <v>535.43749020000007</v>
      </c>
      <c r="Z50" s="66">
        <f t="shared" si="13"/>
        <v>534.28399451999996</v>
      </c>
      <c r="AA50" s="66">
        <f t="shared" si="13"/>
        <v>545.21336608800004</v>
      </c>
      <c r="AB50" s="66">
        <f t="shared" si="13"/>
        <v>556.12831896</v>
      </c>
      <c r="AC50" s="66">
        <f t="shared" si="13"/>
        <v>558.98322076800002</v>
      </c>
      <c r="AD50" s="66">
        <f t="shared" si="13"/>
        <v>551.74503537600003</v>
      </c>
      <c r="AE50" s="66">
        <f t="shared" si="13"/>
        <v>556.22924983200005</v>
      </c>
      <c r="AF50" s="66">
        <f t="shared" si="13"/>
        <v>562.38603302399997</v>
      </c>
      <c r="AG50" s="66">
        <f t="shared" si="13"/>
        <v>557.65670073600006</v>
      </c>
      <c r="AH50" s="66">
        <f t="shared" si="13"/>
        <v>568.91770231200007</v>
      </c>
      <c r="AI50" s="66">
        <f t="shared" si="10"/>
        <v>573.83447764800007</v>
      </c>
      <c r="AJ50" s="66">
        <f t="shared" si="10"/>
        <v>585.09547922399997</v>
      </c>
      <c r="AK50" s="66">
        <f t="shared" si="10"/>
        <v>580.64010215999997</v>
      </c>
      <c r="AL50" s="66">
        <f t="shared" si="10"/>
        <v>571.70051064000006</v>
      </c>
      <c r="AM50" s="66">
        <f t="shared" si="10"/>
        <v>346.91304000000002</v>
      </c>
      <c r="AN50" s="66">
        <f t="shared" si="10"/>
        <v>346.91304000000002</v>
      </c>
      <c r="AO50" s="66">
        <f t="shared" si="10"/>
        <v>346.91304000000002</v>
      </c>
      <c r="AP50" s="66">
        <f t="shared" si="10"/>
        <v>346.91304000000002</v>
      </c>
      <c r="AQ50" s="66">
        <f t="shared" si="10"/>
        <v>346.91304000000002</v>
      </c>
      <c r="AR50" s="66">
        <f t="shared" si="10"/>
        <v>346.91304000000002</v>
      </c>
      <c r="AS50" s="66">
        <f t="shared" si="10"/>
        <v>346.91304000000002</v>
      </c>
      <c r="AT50" s="66">
        <f t="shared" si="10"/>
        <v>346.91304000000002</v>
      </c>
      <c r="AU50" s="66">
        <f t="shared" si="10"/>
        <v>346.91304000000002</v>
      </c>
      <c r="AV50" s="66">
        <f t="shared" si="10"/>
        <v>346.91304000000002</v>
      </c>
      <c r="AW50" s="66">
        <f t="shared" si="10"/>
        <v>346.91304000000002</v>
      </c>
      <c r="AX50" s="66">
        <f t="shared" si="10"/>
        <v>346.91304000000002</v>
      </c>
      <c r="AY50" s="66">
        <f t="shared" si="11"/>
        <v>346.91304000000002</v>
      </c>
      <c r="AZ50" s="66">
        <f t="shared" si="11"/>
        <v>346.91304000000002</v>
      </c>
      <c r="BA50" s="66">
        <f t="shared" si="11"/>
        <v>346.91304000000002</v>
      </c>
      <c r="BB50" s="66">
        <f t="shared" si="11"/>
        <v>346.91304000000002</v>
      </c>
      <c r="BC50" s="66">
        <f t="shared" si="11"/>
        <v>346.91304000000002</v>
      </c>
      <c r="BD50" s="66">
        <f t="shared" si="11"/>
        <v>346.91304000000002</v>
      </c>
      <c r="BE50" s="66">
        <f t="shared" si="11"/>
        <v>346.91304000000002</v>
      </c>
      <c r="BF50" s="66">
        <f t="shared" si="11"/>
        <v>346.91304000000002</v>
      </c>
      <c r="BG50" s="66">
        <f t="shared" si="11"/>
        <v>346.91304000000002</v>
      </c>
      <c r="BH50" s="66">
        <f t="shared" si="11"/>
        <v>346.91304000000002</v>
      </c>
      <c r="BI50" s="66">
        <f t="shared" si="11"/>
        <v>346.91304000000002</v>
      </c>
      <c r="BJ50" s="66" t="e">
        <f t="shared" si="11"/>
        <v>#DIV/0!</v>
      </c>
      <c r="BK50" s="66" t="e">
        <f t="shared" si="11"/>
        <v>#DIV/0!</v>
      </c>
      <c r="BL50" s="66" t="e">
        <f t="shared" si="11"/>
        <v>#DIV/0!</v>
      </c>
      <c r="BM50" s="66" t="e">
        <f t="shared" si="11"/>
        <v>#DIV/0!</v>
      </c>
    </row>
    <row r="51" spans="2:65" x14ac:dyDescent="0.25">
      <c r="B51" s="156" t="s">
        <v>188</v>
      </c>
      <c r="C51" s="5" t="s">
        <v>177</v>
      </c>
      <c r="D51" s="5" t="s">
        <v>79</v>
      </c>
      <c r="E51" s="5" t="s">
        <v>188</v>
      </c>
      <c r="F51" s="159">
        <v>543.1</v>
      </c>
      <c r="H51" s="5" t="s">
        <v>195</v>
      </c>
      <c r="I51" s="66">
        <f t="shared" ref="I51" si="14">(F51*$I$12)+$F51</f>
        <v>617.75643771199998</v>
      </c>
      <c r="J51" s="66">
        <f t="shared" si="9"/>
        <v>624.08676786399997</v>
      </c>
      <c r="K51" s="66">
        <f t="shared" si="9"/>
        <v>626.65397984000003</v>
      </c>
      <c r="L51" s="66">
        <f t="shared" si="9"/>
        <v>628.29635768800006</v>
      </c>
      <c r="M51" s="66">
        <f t="shared" si="9"/>
        <v>612.17554211200002</v>
      </c>
      <c r="N51" s="66">
        <f t="shared" si="9"/>
        <v>603.02287332800006</v>
      </c>
      <c r="O51" s="66">
        <f t="shared" si="9"/>
        <v>616.32135027200002</v>
      </c>
      <c r="P51" s="66">
        <f t="shared" si="9"/>
        <v>609.33725806400003</v>
      </c>
      <c r="Q51" s="66">
        <f t="shared" si="9"/>
        <v>605.66981238400001</v>
      </c>
      <c r="R51" s="66">
        <f t="shared" si="9"/>
        <v>609.321312648</v>
      </c>
      <c r="S51" s="66">
        <f t="shared" si="9"/>
        <v>597.88844937600004</v>
      </c>
      <c r="T51" s="66">
        <f t="shared" si="9"/>
        <v>598.52626601600002</v>
      </c>
      <c r="U51" s="66">
        <f t="shared" si="9"/>
        <v>595.831490712</v>
      </c>
      <c r="V51" s="66">
        <f t="shared" si="9"/>
        <v>584.25511869600007</v>
      </c>
      <c r="W51" s="66">
        <f t="shared" si="9"/>
        <v>582.96354000000008</v>
      </c>
      <c r="X51" s="66">
        <f t="shared" si="9"/>
        <v>584.55808160000004</v>
      </c>
      <c r="Y51" s="66">
        <f t="shared" si="9"/>
        <v>592.13215420000006</v>
      </c>
      <c r="Z51" s="66">
        <f t="shared" si="13"/>
        <v>590.85652091999998</v>
      </c>
      <c r="AA51" s="66">
        <f t="shared" si="13"/>
        <v>602.94314624800006</v>
      </c>
      <c r="AB51" s="66">
        <f t="shared" si="13"/>
        <v>615.01382616000001</v>
      </c>
      <c r="AC51" s="66">
        <f t="shared" si="13"/>
        <v>618.1710185280001</v>
      </c>
      <c r="AD51" s="66">
        <f t="shared" si="13"/>
        <v>610.16641969600005</v>
      </c>
      <c r="AE51" s="66">
        <f t="shared" si="13"/>
        <v>615.12544407200005</v>
      </c>
      <c r="AF51" s="66">
        <f t="shared" si="13"/>
        <v>621.93413670400003</v>
      </c>
      <c r="AG51" s="66">
        <f t="shared" si="13"/>
        <v>616.70404025599998</v>
      </c>
      <c r="AH51" s="66">
        <f t="shared" si="13"/>
        <v>629.15741015200001</v>
      </c>
      <c r="AI51" s="66">
        <f t="shared" si="13"/>
        <v>634.594797008</v>
      </c>
      <c r="AJ51" s="66">
        <f t="shared" si="13"/>
        <v>647.04816690400003</v>
      </c>
      <c r="AK51" s="66">
        <f t="shared" si="13"/>
        <v>642.12103336000007</v>
      </c>
      <c r="AL51" s="66">
        <f t="shared" si="13"/>
        <v>632.23487544</v>
      </c>
      <c r="AM51" s="66">
        <f t="shared" si="13"/>
        <v>383.64584000000002</v>
      </c>
      <c r="AN51" s="66">
        <f t="shared" si="13"/>
        <v>383.64584000000002</v>
      </c>
      <c r="AO51" s="66">
        <f t="shared" si="13"/>
        <v>383.64584000000002</v>
      </c>
      <c r="AP51" s="66">
        <f t="shared" ref="AP51:AX51" si="15">($F51*AP$12)+$F51</f>
        <v>383.64584000000002</v>
      </c>
      <c r="AQ51" s="66">
        <f t="shared" si="15"/>
        <v>383.64584000000002</v>
      </c>
      <c r="AR51" s="66">
        <f t="shared" si="15"/>
        <v>383.64584000000002</v>
      </c>
      <c r="AS51" s="66">
        <f t="shared" si="15"/>
        <v>383.64584000000002</v>
      </c>
      <c r="AT51" s="66">
        <f t="shared" si="15"/>
        <v>383.64584000000002</v>
      </c>
      <c r="AU51" s="66">
        <f t="shared" si="15"/>
        <v>383.64584000000002</v>
      </c>
      <c r="AV51" s="66">
        <f t="shared" si="15"/>
        <v>383.64584000000002</v>
      </c>
      <c r="AW51" s="66">
        <f t="shared" si="15"/>
        <v>383.64584000000002</v>
      </c>
      <c r="AX51" s="66">
        <f t="shared" si="15"/>
        <v>383.64584000000002</v>
      </c>
      <c r="AY51" s="66">
        <f t="shared" si="11"/>
        <v>383.64584000000002</v>
      </c>
      <c r="AZ51" s="66">
        <f t="shared" si="11"/>
        <v>383.64584000000002</v>
      </c>
      <c r="BA51" s="66">
        <f t="shared" si="11"/>
        <v>383.64584000000002</v>
      </c>
      <c r="BB51" s="66">
        <f t="shared" si="11"/>
        <v>383.64584000000002</v>
      </c>
      <c r="BC51" s="66">
        <f t="shared" si="11"/>
        <v>383.64584000000002</v>
      </c>
      <c r="BD51" s="66">
        <f t="shared" si="11"/>
        <v>383.64584000000002</v>
      </c>
      <c r="BE51" s="66">
        <f t="shared" si="11"/>
        <v>383.64584000000002</v>
      </c>
      <c r="BF51" s="66">
        <f t="shared" si="11"/>
        <v>383.64584000000002</v>
      </c>
      <c r="BG51" s="66">
        <f t="shared" si="11"/>
        <v>383.64584000000002</v>
      </c>
      <c r="BH51" s="66">
        <f t="shared" si="11"/>
        <v>383.64584000000002</v>
      </c>
      <c r="BI51" s="66">
        <f t="shared" si="11"/>
        <v>383.64584000000002</v>
      </c>
      <c r="BJ51" s="66" t="e">
        <f t="shared" si="11"/>
        <v>#DIV/0!</v>
      </c>
      <c r="BK51" s="66" t="e">
        <f t="shared" si="11"/>
        <v>#DIV/0!</v>
      </c>
      <c r="BL51" s="66" t="e">
        <f t="shared" si="11"/>
        <v>#DIV/0!</v>
      </c>
      <c r="BM51" s="66" t="e">
        <f t="shared" si="11"/>
        <v>#DIV/0!</v>
      </c>
    </row>
    <row r="52" spans="2:65" x14ac:dyDescent="0.25">
      <c r="B52" s="156" t="s">
        <v>72</v>
      </c>
      <c r="C52" s="5" t="s">
        <v>178</v>
      </c>
      <c r="D52" s="5" t="s">
        <v>79</v>
      </c>
      <c r="E52" t="s">
        <v>72</v>
      </c>
      <c r="F52" s="159">
        <v>433.26</v>
      </c>
      <c r="H52" t="s">
        <v>72</v>
      </c>
      <c r="I52" s="66">
        <f t="shared" si="8"/>
        <v>492.81744467520002</v>
      </c>
      <c r="J52" s="66">
        <f t="shared" si="9"/>
        <v>497.8674885744</v>
      </c>
      <c r="K52" s="66">
        <f t="shared" si="9"/>
        <v>499.91549126400002</v>
      </c>
      <c r="L52" s="66">
        <f t="shared" si="9"/>
        <v>501.22570416479999</v>
      </c>
      <c r="M52" s="66">
        <f t="shared" si="9"/>
        <v>488.36526491519999</v>
      </c>
      <c r="N52" s="66">
        <f t="shared" si="9"/>
        <v>481.06369010880002</v>
      </c>
      <c r="O52" s="66">
        <f t="shared" si="9"/>
        <v>491.67259845119997</v>
      </c>
      <c r="P52" s="66">
        <f t="shared" si="9"/>
        <v>486.10101349439998</v>
      </c>
      <c r="Q52" s="66">
        <f t="shared" si="9"/>
        <v>483.17529536640001</v>
      </c>
      <c r="R52" s="66">
        <f t="shared" si="9"/>
        <v>486.08829298080002</v>
      </c>
      <c r="S52" s="66">
        <f t="shared" si="9"/>
        <v>476.96768472960002</v>
      </c>
      <c r="T52" s="66">
        <f t="shared" si="9"/>
        <v>477.47650527359997</v>
      </c>
      <c r="U52" s="66">
        <f t="shared" si="9"/>
        <v>475.32673847519999</v>
      </c>
      <c r="V52" s="66">
        <f t="shared" si="9"/>
        <v>466.09164560160002</v>
      </c>
      <c r="W52" s="66">
        <f t="shared" si="9"/>
        <v>465.061284</v>
      </c>
      <c r="X52" s="66">
        <f t="shared" si="9"/>
        <v>466.33333535999998</v>
      </c>
      <c r="Y52" s="66">
        <f t="shared" si="9"/>
        <v>472.37557931999999</v>
      </c>
      <c r="Z52" s="66">
        <f t="shared" si="13"/>
        <v>471.35793823199998</v>
      </c>
      <c r="AA52" s="66">
        <f t="shared" si="13"/>
        <v>481.0000875408</v>
      </c>
      <c r="AB52" s="66">
        <f t="shared" si="13"/>
        <v>490.62951633599999</v>
      </c>
      <c r="AC52" s="66">
        <f t="shared" si="13"/>
        <v>493.14817802880003</v>
      </c>
      <c r="AD52" s="66">
        <f t="shared" si="13"/>
        <v>486.7624802016</v>
      </c>
      <c r="AE52" s="66">
        <f t="shared" si="13"/>
        <v>490.71855993119999</v>
      </c>
      <c r="AF52" s="66">
        <f t="shared" si="13"/>
        <v>496.15021923839998</v>
      </c>
      <c r="AG52" s="66">
        <f t="shared" si="13"/>
        <v>491.97789077760001</v>
      </c>
      <c r="AH52" s="66">
        <f t="shared" si="13"/>
        <v>501.91261189919999</v>
      </c>
      <c r="AI52" s="66">
        <f t="shared" si="10"/>
        <v>506.2503070368</v>
      </c>
      <c r="AJ52" s="66">
        <f t="shared" si="10"/>
        <v>516.18502815839997</v>
      </c>
      <c r="AK52" s="66">
        <f t="shared" si="10"/>
        <v>512.25438945600001</v>
      </c>
      <c r="AL52" s="66">
        <f t="shared" si="10"/>
        <v>504.367671024</v>
      </c>
      <c r="AM52" s="66">
        <f t="shared" si="10"/>
        <v>306.05486399999995</v>
      </c>
      <c r="AN52" s="66">
        <f t="shared" si="10"/>
        <v>306.05486399999995</v>
      </c>
      <c r="AO52" s="66">
        <f t="shared" si="10"/>
        <v>306.05486399999995</v>
      </c>
      <c r="AP52" s="66">
        <f t="shared" si="10"/>
        <v>306.05486399999995</v>
      </c>
      <c r="AQ52" s="66">
        <f t="shared" si="10"/>
        <v>306.05486399999995</v>
      </c>
      <c r="AR52" s="66">
        <f t="shared" si="10"/>
        <v>306.05486399999995</v>
      </c>
      <c r="AS52" s="66">
        <f t="shared" si="10"/>
        <v>306.05486399999995</v>
      </c>
      <c r="AT52" s="66">
        <f t="shared" si="10"/>
        <v>306.05486399999995</v>
      </c>
      <c r="AU52" s="66">
        <f t="shared" si="10"/>
        <v>306.05486399999995</v>
      </c>
      <c r="AV52" s="66">
        <f t="shared" si="10"/>
        <v>306.05486399999995</v>
      </c>
      <c r="AW52" s="66">
        <f t="shared" si="10"/>
        <v>306.05486399999995</v>
      </c>
      <c r="AX52" s="66">
        <f t="shared" ref="AX52:BM65" si="16">($F52*AX$12)+$F52</f>
        <v>306.05486399999995</v>
      </c>
      <c r="AY52" s="66">
        <f t="shared" si="16"/>
        <v>306.05486399999995</v>
      </c>
      <c r="AZ52" s="66">
        <f t="shared" si="16"/>
        <v>306.05486399999995</v>
      </c>
      <c r="BA52" s="66">
        <f t="shared" si="16"/>
        <v>306.05486399999995</v>
      </c>
      <c r="BB52" s="66">
        <f t="shared" si="16"/>
        <v>306.05486399999995</v>
      </c>
      <c r="BC52" s="66">
        <f t="shared" si="16"/>
        <v>306.05486399999995</v>
      </c>
      <c r="BD52" s="66">
        <f t="shared" si="16"/>
        <v>306.05486399999995</v>
      </c>
      <c r="BE52" s="66">
        <f t="shared" si="16"/>
        <v>306.05486399999995</v>
      </c>
      <c r="BF52" s="66">
        <f t="shared" si="16"/>
        <v>306.05486399999995</v>
      </c>
      <c r="BG52" s="66">
        <f t="shared" si="16"/>
        <v>306.05486399999995</v>
      </c>
      <c r="BH52" s="66">
        <f t="shared" si="16"/>
        <v>306.05486399999995</v>
      </c>
      <c r="BI52" s="66">
        <f t="shared" si="16"/>
        <v>306.05486399999995</v>
      </c>
      <c r="BJ52" s="66" t="e">
        <f t="shared" si="16"/>
        <v>#DIV/0!</v>
      </c>
      <c r="BK52" s="66" t="e">
        <f t="shared" si="16"/>
        <v>#DIV/0!</v>
      </c>
      <c r="BL52" s="66" t="e">
        <f t="shared" si="16"/>
        <v>#DIV/0!</v>
      </c>
      <c r="BM52" s="66" t="e">
        <f t="shared" si="16"/>
        <v>#DIV/0!</v>
      </c>
    </row>
    <row r="53" spans="2:65" x14ac:dyDescent="0.25">
      <c r="B53" s="156" t="s">
        <v>71</v>
      </c>
      <c r="C53" s="5" t="s">
        <v>178</v>
      </c>
      <c r="D53" s="5" t="s">
        <v>79</v>
      </c>
      <c r="E53" t="s">
        <v>71</v>
      </c>
      <c r="F53" s="159">
        <v>306.16000000000003</v>
      </c>
      <c r="H53" t="s">
        <v>71</v>
      </c>
      <c r="I53" s="66">
        <f t="shared" si="8"/>
        <v>348.2458312832</v>
      </c>
      <c r="J53" s="66">
        <f t="shared" si="9"/>
        <v>351.81440775040005</v>
      </c>
      <c r="K53" s="66">
        <f t="shared" si="9"/>
        <v>353.26161382400005</v>
      </c>
      <c r="L53" s="66">
        <f t="shared" si="9"/>
        <v>354.18746615680004</v>
      </c>
      <c r="M53" s="66">
        <f t="shared" si="9"/>
        <v>345.09973112320006</v>
      </c>
      <c r="N53" s="66">
        <f t="shared" si="9"/>
        <v>339.94012686080004</v>
      </c>
      <c r="O53" s="66">
        <f t="shared" si="9"/>
        <v>347.43683409920004</v>
      </c>
      <c r="P53" s="66">
        <f t="shared" si="9"/>
        <v>343.49971447040002</v>
      </c>
      <c r="Q53" s="66">
        <f t="shared" si="9"/>
        <v>341.43227722240005</v>
      </c>
      <c r="R53" s="66">
        <f t="shared" si="9"/>
        <v>343.49072561280002</v>
      </c>
      <c r="S53" s="66">
        <f t="shared" si="9"/>
        <v>337.04571471360003</v>
      </c>
      <c r="T53" s="66">
        <f t="shared" si="9"/>
        <v>337.40526901760001</v>
      </c>
      <c r="U53" s="66">
        <f t="shared" si="9"/>
        <v>335.88615208320005</v>
      </c>
      <c r="V53" s="66">
        <f t="shared" si="9"/>
        <v>329.36024146560004</v>
      </c>
      <c r="W53" s="66">
        <f t="shared" si="9"/>
        <v>328.63214400000004</v>
      </c>
      <c r="X53" s="66">
        <f t="shared" si="9"/>
        <v>329.53102976000002</v>
      </c>
      <c r="Y53" s="66">
        <f t="shared" si="9"/>
        <v>333.80073712000001</v>
      </c>
      <c r="Z53" s="66">
        <f t="shared" si="13"/>
        <v>333.08162851200001</v>
      </c>
      <c r="AA53" s="66">
        <f t="shared" si="13"/>
        <v>339.89518257280002</v>
      </c>
      <c r="AB53" s="66">
        <f t="shared" si="13"/>
        <v>346.69974777600004</v>
      </c>
      <c r="AC53" s="66">
        <f t="shared" si="13"/>
        <v>348.47954158080006</v>
      </c>
      <c r="AD53" s="66">
        <f t="shared" si="13"/>
        <v>343.96713506560002</v>
      </c>
      <c r="AE53" s="66">
        <f t="shared" si="13"/>
        <v>346.7626697792</v>
      </c>
      <c r="AF53" s="66">
        <f t="shared" si="13"/>
        <v>350.60091197440005</v>
      </c>
      <c r="AG53" s="66">
        <f t="shared" si="13"/>
        <v>347.65256668160004</v>
      </c>
      <c r="AH53" s="66">
        <f t="shared" si="13"/>
        <v>354.67286446720004</v>
      </c>
      <c r="AI53" s="66">
        <f t="shared" si="13"/>
        <v>357.73806490880003</v>
      </c>
      <c r="AJ53" s="66">
        <f t="shared" si="13"/>
        <v>364.75836269440003</v>
      </c>
      <c r="AK53" s="66">
        <f t="shared" si="13"/>
        <v>361.98080569600006</v>
      </c>
      <c r="AL53" s="66">
        <f t="shared" si="13"/>
        <v>356.40771398400005</v>
      </c>
      <c r="AM53" s="66">
        <f t="shared" si="13"/>
        <v>216.27142400000002</v>
      </c>
      <c r="AN53" s="66">
        <f t="shared" si="13"/>
        <v>216.27142400000002</v>
      </c>
      <c r="AO53" s="66">
        <f t="shared" si="13"/>
        <v>216.27142400000002</v>
      </c>
      <c r="AP53" s="66">
        <f t="shared" ref="AP53:BE65" si="17">($F53*AP$12)+$F53</f>
        <v>216.27142400000002</v>
      </c>
      <c r="AQ53" s="66">
        <f t="shared" si="17"/>
        <v>216.27142400000002</v>
      </c>
      <c r="AR53" s="66">
        <f t="shared" si="17"/>
        <v>216.27142400000002</v>
      </c>
      <c r="AS53" s="66">
        <f t="shared" si="17"/>
        <v>216.27142400000002</v>
      </c>
      <c r="AT53" s="66">
        <f t="shared" si="17"/>
        <v>216.27142400000002</v>
      </c>
      <c r="AU53" s="66">
        <f t="shared" si="17"/>
        <v>216.27142400000002</v>
      </c>
      <c r="AV53" s="66">
        <f t="shared" si="17"/>
        <v>216.27142400000002</v>
      </c>
      <c r="AW53" s="66">
        <f t="shared" si="17"/>
        <v>216.27142400000002</v>
      </c>
      <c r="AX53" s="66">
        <f t="shared" si="17"/>
        <v>216.27142400000002</v>
      </c>
      <c r="AY53" s="66">
        <f t="shared" si="17"/>
        <v>216.27142400000002</v>
      </c>
      <c r="AZ53" s="66">
        <f t="shared" si="17"/>
        <v>216.27142400000002</v>
      </c>
      <c r="BA53" s="66">
        <f t="shared" si="17"/>
        <v>216.27142400000002</v>
      </c>
      <c r="BB53" s="66">
        <f t="shared" si="17"/>
        <v>216.27142400000002</v>
      </c>
      <c r="BC53" s="66">
        <f t="shared" si="17"/>
        <v>216.27142400000002</v>
      </c>
      <c r="BD53" s="66">
        <f t="shared" si="17"/>
        <v>216.27142400000002</v>
      </c>
      <c r="BE53" s="66">
        <f t="shared" si="17"/>
        <v>216.27142400000002</v>
      </c>
      <c r="BF53" s="66">
        <f t="shared" si="16"/>
        <v>216.27142400000002</v>
      </c>
      <c r="BG53" s="66">
        <f t="shared" si="16"/>
        <v>216.27142400000002</v>
      </c>
      <c r="BH53" s="66">
        <f t="shared" si="16"/>
        <v>216.27142400000002</v>
      </c>
      <c r="BI53" s="66">
        <f t="shared" si="16"/>
        <v>216.27142400000002</v>
      </c>
      <c r="BJ53" s="66" t="e">
        <f t="shared" si="16"/>
        <v>#DIV/0!</v>
      </c>
      <c r="BK53" s="66" t="e">
        <f t="shared" si="16"/>
        <v>#DIV/0!</v>
      </c>
      <c r="BL53" s="66" t="e">
        <f t="shared" si="16"/>
        <v>#DIV/0!</v>
      </c>
      <c r="BM53" s="66" t="e">
        <f t="shared" si="16"/>
        <v>#DIV/0!</v>
      </c>
    </row>
    <row r="54" spans="2:65" ht="15.75" thickBot="1" x14ac:dyDescent="0.3">
      <c r="B54" s="156" t="s">
        <v>51</v>
      </c>
      <c r="C54" s="5" t="s">
        <v>178</v>
      </c>
      <c r="D54" s="5" t="s">
        <v>79</v>
      </c>
      <c r="E54" s="67" t="s">
        <v>51</v>
      </c>
      <c r="F54" s="159">
        <v>277.27999999999997</v>
      </c>
      <c r="H54" s="67" t="s">
        <v>51</v>
      </c>
      <c r="I54" s="66">
        <f t="shared" si="8"/>
        <v>315.39588482559998</v>
      </c>
      <c r="J54" s="66">
        <f t="shared" si="9"/>
        <v>318.62783832319997</v>
      </c>
      <c r="K54" s="66">
        <f t="shared" si="9"/>
        <v>319.938529792</v>
      </c>
      <c r="L54" s="66">
        <f t="shared" si="9"/>
        <v>320.77704669439998</v>
      </c>
      <c r="M54" s="66">
        <f t="shared" si="9"/>
        <v>312.54655554559997</v>
      </c>
      <c r="N54" s="66">
        <f t="shared" si="9"/>
        <v>307.8736555264</v>
      </c>
      <c r="O54" s="66">
        <f t="shared" si="9"/>
        <v>314.66320015359997</v>
      </c>
      <c r="P54" s="66">
        <f t="shared" si="9"/>
        <v>311.09746808319994</v>
      </c>
      <c r="Q54" s="66">
        <f t="shared" si="9"/>
        <v>309.22505169919998</v>
      </c>
      <c r="R54" s="66">
        <f t="shared" si="9"/>
        <v>311.08932714239995</v>
      </c>
      <c r="S54" s="66">
        <f t="shared" si="9"/>
        <v>305.2522725888</v>
      </c>
      <c r="T54" s="66">
        <f t="shared" si="9"/>
        <v>305.57791022079994</v>
      </c>
      <c r="U54" s="66">
        <f t="shared" si="9"/>
        <v>304.20209122559999</v>
      </c>
      <c r="V54" s="66">
        <f t="shared" si="9"/>
        <v>298.29176820479995</v>
      </c>
      <c r="W54" s="66">
        <f t="shared" si="9"/>
        <v>297.63235199999997</v>
      </c>
      <c r="X54" s="66">
        <f t="shared" si="9"/>
        <v>298.44644607999999</v>
      </c>
      <c r="Y54" s="66">
        <f t="shared" si="9"/>
        <v>302.31339295999999</v>
      </c>
      <c r="Z54" s="66">
        <f t="shared" si="13"/>
        <v>301.66211769599994</v>
      </c>
      <c r="AA54" s="66">
        <f t="shared" si="13"/>
        <v>307.83295082239999</v>
      </c>
      <c r="AB54" s="66">
        <f t="shared" si="13"/>
        <v>313.99564300799994</v>
      </c>
      <c r="AC54" s="66">
        <f t="shared" si="13"/>
        <v>315.6075492864</v>
      </c>
      <c r="AD54" s="66">
        <f t="shared" si="13"/>
        <v>311.52079700479999</v>
      </c>
      <c r="AE54" s="66">
        <f t="shared" si="13"/>
        <v>314.05262959359993</v>
      </c>
      <c r="AF54" s="66">
        <f t="shared" si="13"/>
        <v>317.52881131519996</v>
      </c>
      <c r="AG54" s="66">
        <f t="shared" si="13"/>
        <v>314.85858273279996</v>
      </c>
      <c r="AH54" s="66">
        <f t="shared" si="13"/>
        <v>321.21665749759995</v>
      </c>
      <c r="AI54" s="66">
        <f t="shared" si="13"/>
        <v>323.99271831039999</v>
      </c>
      <c r="AJ54" s="66">
        <f t="shared" si="13"/>
        <v>330.35079307519999</v>
      </c>
      <c r="AK54" s="66">
        <f t="shared" si="13"/>
        <v>327.83524236799997</v>
      </c>
      <c r="AL54" s="66">
        <f t="shared" si="13"/>
        <v>322.78785907199995</v>
      </c>
      <c r="AM54" s="66">
        <f t="shared" si="13"/>
        <v>195.87059199999999</v>
      </c>
      <c r="AN54" s="66">
        <f t="shared" si="13"/>
        <v>195.87059199999999</v>
      </c>
      <c r="AO54" s="66">
        <f t="shared" si="13"/>
        <v>195.87059199999999</v>
      </c>
      <c r="AP54" s="66">
        <f t="shared" si="17"/>
        <v>195.87059199999999</v>
      </c>
      <c r="AQ54" s="66">
        <f t="shared" si="17"/>
        <v>195.87059199999999</v>
      </c>
      <c r="AR54" s="66">
        <f t="shared" si="17"/>
        <v>195.87059199999999</v>
      </c>
      <c r="AS54" s="66">
        <f t="shared" si="17"/>
        <v>195.87059199999999</v>
      </c>
      <c r="AT54" s="66">
        <f t="shared" si="17"/>
        <v>195.87059199999999</v>
      </c>
      <c r="AU54" s="66">
        <f t="shared" si="17"/>
        <v>195.87059199999999</v>
      </c>
      <c r="AV54" s="66">
        <f t="shared" si="17"/>
        <v>195.87059199999999</v>
      </c>
      <c r="AW54" s="66">
        <f t="shared" si="17"/>
        <v>195.87059199999999</v>
      </c>
      <c r="AX54" s="66">
        <f t="shared" si="17"/>
        <v>195.87059199999999</v>
      </c>
      <c r="AY54" s="66">
        <f t="shared" si="17"/>
        <v>195.87059199999999</v>
      </c>
      <c r="AZ54" s="66">
        <f t="shared" si="17"/>
        <v>195.87059199999999</v>
      </c>
      <c r="BA54" s="66">
        <f t="shared" si="17"/>
        <v>195.87059199999999</v>
      </c>
      <c r="BB54" s="66">
        <f t="shared" si="17"/>
        <v>195.87059199999999</v>
      </c>
      <c r="BC54" s="66">
        <f t="shared" si="17"/>
        <v>195.87059199999999</v>
      </c>
      <c r="BD54" s="66">
        <f t="shared" si="17"/>
        <v>195.87059199999999</v>
      </c>
      <c r="BE54" s="66">
        <f t="shared" si="17"/>
        <v>195.87059199999999</v>
      </c>
      <c r="BF54" s="66">
        <f t="shared" si="16"/>
        <v>195.87059199999999</v>
      </c>
      <c r="BG54" s="66">
        <f t="shared" si="16"/>
        <v>195.87059199999999</v>
      </c>
      <c r="BH54" s="66">
        <f t="shared" si="16"/>
        <v>195.87059199999999</v>
      </c>
      <c r="BI54" s="66">
        <f t="shared" si="16"/>
        <v>195.87059199999999</v>
      </c>
      <c r="BJ54" s="66" t="e">
        <f t="shared" si="16"/>
        <v>#DIV/0!</v>
      </c>
      <c r="BK54" s="66" t="e">
        <f t="shared" si="16"/>
        <v>#DIV/0!</v>
      </c>
      <c r="BL54" s="66" t="e">
        <f t="shared" si="16"/>
        <v>#DIV/0!</v>
      </c>
      <c r="BM54" s="66" t="e">
        <f t="shared" si="16"/>
        <v>#DIV/0!</v>
      </c>
    </row>
    <row r="55" spans="2:65" x14ac:dyDescent="0.25">
      <c r="B55" s="156" t="s">
        <v>193</v>
      </c>
      <c r="C55" s="5" t="s">
        <v>182</v>
      </c>
      <c r="D55" s="5" t="s">
        <v>79</v>
      </c>
      <c r="E55" s="5" t="s">
        <v>193</v>
      </c>
      <c r="F55" s="159">
        <v>196.41</v>
      </c>
      <c r="H55" s="5" t="s">
        <v>193</v>
      </c>
      <c r="I55" s="66">
        <f t="shared" si="8"/>
        <v>223.4092099632</v>
      </c>
      <c r="J55" s="66">
        <f t="shared" si="9"/>
        <v>225.69854921039999</v>
      </c>
      <c r="K55" s="66">
        <f t="shared" si="9"/>
        <v>226.626971424</v>
      </c>
      <c r="L55" s="66">
        <f t="shared" si="9"/>
        <v>227.22093097679999</v>
      </c>
      <c r="M55" s="66">
        <f t="shared" si="9"/>
        <v>221.3909008032</v>
      </c>
      <c r="N55" s="66">
        <f t="shared" si="9"/>
        <v>218.0808737808</v>
      </c>
      <c r="O55" s="66">
        <f t="shared" si="9"/>
        <v>222.8902161792</v>
      </c>
      <c r="P55" s="66">
        <f t="shared" si="9"/>
        <v>220.36444643039999</v>
      </c>
      <c r="Q55" s="66">
        <f t="shared" si="9"/>
        <v>219.0381289824</v>
      </c>
      <c r="R55" s="66">
        <f t="shared" si="9"/>
        <v>220.35867983279999</v>
      </c>
      <c r="S55" s="66">
        <f t="shared" si="9"/>
        <v>216.2240293536</v>
      </c>
      <c r="T55" s="66">
        <f t="shared" si="9"/>
        <v>216.45469325759998</v>
      </c>
      <c r="U55" s="66">
        <f t="shared" si="9"/>
        <v>215.48013826319999</v>
      </c>
      <c r="V55" s="66">
        <f t="shared" si="9"/>
        <v>211.29358840559999</v>
      </c>
      <c r="W55" s="66">
        <f t="shared" si="9"/>
        <v>210.826494</v>
      </c>
      <c r="X55" s="66">
        <f t="shared" si="9"/>
        <v>211.40315376000001</v>
      </c>
      <c r="Y55" s="66">
        <f t="shared" si="9"/>
        <v>214.14228761999999</v>
      </c>
      <c r="Z55" s="66">
        <f t="shared" si="13"/>
        <v>213.680959812</v>
      </c>
      <c r="AA55" s="66">
        <f t="shared" si="13"/>
        <v>218.0520407928</v>
      </c>
      <c r="AB55" s="66">
        <f t="shared" si="13"/>
        <v>222.417355176</v>
      </c>
      <c r="AC55" s="66">
        <f t="shared" si="13"/>
        <v>223.5591415008</v>
      </c>
      <c r="AD55" s="66">
        <f t="shared" si="13"/>
        <v>220.66430950559999</v>
      </c>
      <c r="AE55" s="66">
        <f t="shared" si="13"/>
        <v>222.45772135919998</v>
      </c>
      <c r="AF55" s="66">
        <f t="shared" si="13"/>
        <v>224.9200585344</v>
      </c>
      <c r="AG55" s="66">
        <f t="shared" si="13"/>
        <v>223.02861452159999</v>
      </c>
      <c r="AH55" s="66">
        <f t="shared" si="13"/>
        <v>227.53232724719999</v>
      </c>
      <c r="AI55" s="66">
        <f t="shared" si="13"/>
        <v>229.49873702880001</v>
      </c>
      <c r="AJ55" s="66">
        <f t="shared" si="13"/>
        <v>234.0024497544</v>
      </c>
      <c r="AK55" s="66">
        <f t="shared" si="13"/>
        <v>232.22057109599999</v>
      </c>
      <c r="AL55" s="66">
        <f t="shared" si="13"/>
        <v>228.64528058400001</v>
      </c>
      <c r="AM55" s="66">
        <f t="shared" si="13"/>
        <v>138.744024</v>
      </c>
      <c r="AN55" s="66">
        <f t="shared" si="13"/>
        <v>138.744024</v>
      </c>
      <c r="AO55" s="66">
        <f t="shared" si="13"/>
        <v>138.744024</v>
      </c>
      <c r="AP55" s="66">
        <f t="shared" si="17"/>
        <v>138.744024</v>
      </c>
      <c r="AQ55" s="66">
        <f t="shared" si="17"/>
        <v>138.744024</v>
      </c>
      <c r="AR55" s="66">
        <f t="shared" si="17"/>
        <v>138.744024</v>
      </c>
      <c r="AS55" s="66">
        <f t="shared" si="17"/>
        <v>138.744024</v>
      </c>
      <c r="AT55" s="66">
        <f t="shared" si="17"/>
        <v>138.744024</v>
      </c>
      <c r="AU55" s="66">
        <f t="shared" si="17"/>
        <v>138.744024</v>
      </c>
      <c r="AV55" s="66">
        <f t="shared" si="17"/>
        <v>138.744024</v>
      </c>
      <c r="AW55" s="66">
        <f t="shared" si="17"/>
        <v>138.744024</v>
      </c>
      <c r="AX55" s="66">
        <f t="shared" si="17"/>
        <v>138.744024</v>
      </c>
      <c r="AY55" s="66">
        <f t="shared" si="17"/>
        <v>138.744024</v>
      </c>
      <c r="AZ55" s="66">
        <f t="shared" si="17"/>
        <v>138.744024</v>
      </c>
      <c r="BA55" s="66">
        <f t="shared" si="17"/>
        <v>138.744024</v>
      </c>
      <c r="BB55" s="66">
        <f t="shared" si="17"/>
        <v>138.744024</v>
      </c>
      <c r="BC55" s="66">
        <f t="shared" si="17"/>
        <v>138.744024</v>
      </c>
      <c r="BD55" s="66">
        <f t="shared" si="17"/>
        <v>138.744024</v>
      </c>
      <c r="BE55" s="66">
        <f t="shared" si="17"/>
        <v>138.744024</v>
      </c>
      <c r="BF55" s="66">
        <f t="shared" si="16"/>
        <v>138.744024</v>
      </c>
      <c r="BG55" s="66">
        <f t="shared" si="16"/>
        <v>138.744024</v>
      </c>
      <c r="BH55" s="66">
        <f t="shared" si="16"/>
        <v>138.744024</v>
      </c>
      <c r="BI55" s="66">
        <f t="shared" si="16"/>
        <v>138.744024</v>
      </c>
      <c r="BJ55" s="66" t="e">
        <f t="shared" si="16"/>
        <v>#DIV/0!</v>
      </c>
      <c r="BK55" s="66" t="e">
        <f t="shared" si="16"/>
        <v>#DIV/0!</v>
      </c>
      <c r="BL55" s="66" t="e">
        <f t="shared" si="16"/>
        <v>#DIV/0!</v>
      </c>
      <c r="BM55" s="66" t="e">
        <f t="shared" si="16"/>
        <v>#DIV/0!</v>
      </c>
    </row>
    <row r="56" spans="2:65" x14ac:dyDescent="0.25">
      <c r="B56" s="156" t="s">
        <v>183</v>
      </c>
      <c r="C56" s="5" t="s">
        <v>186</v>
      </c>
      <c r="D56" s="5" t="s">
        <v>79</v>
      </c>
      <c r="E56" s="5" t="s">
        <v>183</v>
      </c>
      <c r="F56" s="159">
        <v>317.17</v>
      </c>
      <c r="H56" s="5" t="s">
        <v>183</v>
      </c>
      <c r="I56" s="66">
        <f t="shared" ref="I56:I59" si="18">(F56*$I$12)+$F56</f>
        <v>360.7693046384</v>
      </c>
      <c r="J56" s="66">
        <f t="shared" si="9"/>
        <v>364.46621278480001</v>
      </c>
      <c r="K56" s="66">
        <f t="shared" si="9"/>
        <v>365.965462688</v>
      </c>
      <c r="L56" s="66">
        <f t="shared" si="9"/>
        <v>366.92461014160006</v>
      </c>
      <c r="M56" s="66">
        <f t="shared" si="9"/>
        <v>357.51006571840003</v>
      </c>
      <c r="N56" s="66">
        <f t="shared" si="9"/>
        <v>352.16491388960003</v>
      </c>
      <c r="O56" s="66">
        <f t="shared" si="9"/>
        <v>359.93121463040001</v>
      </c>
      <c r="P56" s="66">
        <f t="shared" si="9"/>
        <v>355.85250992480002</v>
      </c>
      <c r="Q56" s="66">
        <f t="shared" si="9"/>
        <v>353.7107243488</v>
      </c>
      <c r="R56" s="66">
        <f t="shared" si="9"/>
        <v>355.8431978136</v>
      </c>
      <c r="S56" s="66">
        <f t="shared" si="9"/>
        <v>349.16641408320004</v>
      </c>
      <c r="T56" s="66">
        <f t="shared" si="9"/>
        <v>349.5388985312</v>
      </c>
      <c r="U56" s="66">
        <f t="shared" si="9"/>
        <v>347.96515173840004</v>
      </c>
      <c r="V56" s="66">
        <f t="shared" si="9"/>
        <v>341.20455900720003</v>
      </c>
      <c r="W56" s="66">
        <f t="shared" si="9"/>
        <v>340.45027800000003</v>
      </c>
      <c r="X56" s="66">
        <f t="shared" si="9"/>
        <v>341.38148912000003</v>
      </c>
      <c r="Y56" s="66">
        <f t="shared" si="9"/>
        <v>345.80474194000004</v>
      </c>
      <c r="Z56" s="66">
        <f t="shared" si="13"/>
        <v>345.059773044</v>
      </c>
      <c r="AA56" s="66">
        <f t="shared" si="13"/>
        <v>352.1183533336</v>
      </c>
      <c r="AB56" s="66">
        <f t="shared" si="13"/>
        <v>359.16762151200004</v>
      </c>
      <c r="AC56" s="66">
        <f t="shared" si="13"/>
        <v>361.01141952960006</v>
      </c>
      <c r="AD56" s="66">
        <f t="shared" si="13"/>
        <v>356.33673970720002</v>
      </c>
      <c r="AE56" s="66">
        <f t="shared" si="13"/>
        <v>359.23280629039999</v>
      </c>
      <c r="AF56" s="66">
        <f t="shared" si="13"/>
        <v>363.20907777280001</v>
      </c>
      <c r="AG56" s="66">
        <f t="shared" si="13"/>
        <v>360.15470529920003</v>
      </c>
      <c r="AH56" s="66">
        <f t="shared" si="13"/>
        <v>367.42746414640004</v>
      </c>
      <c r="AI56" s="66">
        <f t="shared" si="13"/>
        <v>370.60289406560003</v>
      </c>
      <c r="AJ56" s="66">
        <f t="shared" si="13"/>
        <v>377.87565291280004</v>
      </c>
      <c r="AK56" s="66">
        <f t="shared" si="13"/>
        <v>374.99821055200005</v>
      </c>
      <c r="AL56" s="66">
        <f t="shared" si="13"/>
        <v>369.22470160800003</v>
      </c>
      <c r="AM56" s="66">
        <f t="shared" si="13"/>
        <v>224.04888800000001</v>
      </c>
      <c r="AN56" s="66">
        <f t="shared" si="13"/>
        <v>224.04888800000001</v>
      </c>
      <c r="AO56" s="66">
        <f t="shared" si="13"/>
        <v>224.04888800000001</v>
      </c>
      <c r="AP56" s="66">
        <f t="shared" si="17"/>
        <v>224.04888800000001</v>
      </c>
      <c r="AQ56" s="66">
        <f t="shared" si="17"/>
        <v>224.04888800000001</v>
      </c>
      <c r="AR56" s="66">
        <f t="shared" si="17"/>
        <v>224.04888800000001</v>
      </c>
      <c r="AS56" s="66">
        <f t="shared" si="17"/>
        <v>224.04888800000001</v>
      </c>
      <c r="AT56" s="66">
        <f t="shared" si="17"/>
        <v>224.04888800000001</v>
      </c>
      <c r="AU56" s="66">
        <f t="shared" si="17"/>
        <v>224.04888800000001</v>
      </c>
      <c r="AV56" s="66">
        <f t="shared" si="17"/>
        <v>224.04888800000001</v>
      </c>
      <c r="AW56" s="66">
        <f t="shared" si="17"/>
        <v>224.04888800000001</v>
      </c>
      <c r="AX56" s="66">
        <f t="shared" si="17"/>
        <v>224.04888800000001</v>
      </c>
      <c r="AY56" s="66">
        <f t="shared" si="17"/>
        <v>224.04888800000001</v>
      </c>
      <c r="AZ56" s="66">
        <f t="shared" si="17"/>
        <v>224.04888800000001</v>
      </c>
      <c r="BA56" s="66">
        <f t="shared" si="17"/>
        <v>224.04888800000001</v>
      </c>
      <c r="BB56" s="66">
        <f t="shared" si="17"/>
        <v>224.04888800000001</v>
      </c>
      <c r="BC56" s="66">
        <f t="shared" si="17"/>
        <v>224.04888800000001</v>
      </c>
      <c r="BD56" s="66">
        <f t="shared" si="17"/>
        <v>224.04888800000001</v>
      </c>
      <c r="BE56" s="66">
        <f t="shared" si="17"/>
        <v>224.04888800000001</v>
      </c>
      <c r="BF56" s="66">
        <f t="shared" si="16"/>
        <v>224.04888800000001</v>
      </c>
      <c r="BG56" s="66">
        <f t="shared" si="16"/>
        <v>224.04888800000001</v>
      </c>
      <c r="BH56" s="66">
        <f t="shared" si="16"/>
        <v>224.04888800000001</v>
      </c>
      <c r="BI56" s="66">
        <f t="shared" si="16"/>
        <v>224.04888800000001</v>
      </c>
      <c r="BJ56" s="66" t="e">
        <f t="shared" si="16"/>
        <v>#DIV/0!</v>
      </c>
      <c r="BK56" s="66" t="e">
        <f t="shared" si="16"/>
        <v>#DIV/0!</v>
      </c>
      <c r="BL56" s="66" t="e">
        <f t="shared" si="16"/>
        <v>#DIV/0!</v>
      </c>
      <c r="BM56" s="66" t="e">
        <f t="shared" si="16"/>
        <v>#DIV/0!</v>
      </c>
    </row>
    <row r="57" spans="2:65" x14ac:dyDescent="0.25">
      <c r="B57" s="160" t="s">
        <v>184</v>
      </c>
      <c r="C57" s="5" t="s">
        <v>186</v>
      </c>
      <c r="D57" s="5" t="s">
        <v>79</v>
      </c>
      <c r="E57" s="5" t="s">
        <v>184</v>
      </c>
      <c r="F57" s="159">
        <v>329.28</v>
      </c>
      <c r="H57" s="5" t="s">
        <v>184</v>
      </c>
      <c r="I57" s="66">
        <f t="shared" si="18"/>
        <v>374.5439878656</v>
      </c>
      <c r="J57" s="66">
        <f t="shared" ref="J57:Y65" si="19">($F57*J$12)+$F57</f>
        <v>378.38204920319998</v>
      </c>
      <c r="K57" s="66">
        <f t="shared" si="19"/>
        <v>379.93854259199998</v>
      </c>
      <c r="L57" s="66">
        <f t="shared" si="19"/>
        <v>380.93431165439995</v>
      </c>
      <c r="M57" s="66">
        <f t="shared" si="19"/>
        <v>371.16030658559998</v>
      </c>
      <c r="N57" s="66">
        <f t="shared" si="19"/>
        <v>365.61106928639998</v>
      </c>
      <c r="O57" s="66">
        <f t="shared" si="19"/>
        <v>373.67389839359998</v>
      </c>
      <c r="P57" s="66">
        <f t="shared" si="19"/>
        <v>369.43946296319996</v>
      </c>
      <c r="Q57" s="66">
        <f t="shared" si="19"/>
        <v>367.2159009792</v>
      </c>
      <c r="R57" s="66">
        <f t="shared" si="19"/>
        <v>369.42979530239995</v>
      </c>
      <c r="S57" s="66">
        <f t="shared" si="19"/>
        <v>362.4980825088</v>
      </c>
      <c r="T57" s="66">
        <f t="shared" si="19"/>
        <v>362.88478894079998</v>
      </c>
      <c r="U57" s="66">
        <f t="shared" si="19"/>
        <v>361.25095426559994</v>
      </c>
      <c r="V57" s="66">
        <f t="shared" si="19"/>
        <v>354.2322325248</v>
      </c>
      <c r="W57" s="66">
        <f t="shared" si="19"/>
        <v>353.44915199999997</v>
      </c>
      <c r="X57" s="66">
        <f t="shared" si="19"/>
        <v>354.41591807999998</v>
      </c>
      <c r="Y57" s="66">
        <f t="shared" si="19"/>
        <v>359.00805695999998</v>
      </c>
      <c r="Z57" s="66">
        <f t="shared" si="13"/>
        <v>358.23464409599995</v>
      </c>
      <c r="AA57" s="66">
        <f t="shared" si="13"/>
        <v>365.56273098239996</v>
      </c>
      <c r="AB57" s="66">
        <f t="shared" si="13"/>
        <v>372.88115020799995</v>
      </c>
      <c r="AC57" s="66">
        <f t="shared" si="13"/>
        <v>374.79534704639997</v>
      </c>
      <c r="AD57" s="66">
        <f t="shared" si="13"/>
        <v>369.9421813248</v>
      </c>
      <c r="AE57" s="66">
        <f t="shared" si="13"/>
        <v>372.94882383359993</v>
      </c>
      <c r="AF57" s="66">
        <f t="shared" si="13"/>
        <v>377.07691499519996</v>
      </c>
      <c r="AG57" s="66">
        <f t="shared" si="13"/>
        <v>373.9059222528</v>
      </c>
      <c r="AH57" s="66">
        <f t="shared" si="13"/>
        <v>381.4563653376</v>
      </c>
      <c r="AI57" s="66">
        <f t="shared" si="13"/>
        <v>384.75303767039998</v>
      </c>
      <c r="AJ57" s="66">
        <f t="shared" si="13"/>
        <v>392.30348075519998</v>
      </c>
      <c r="AK57" s="66">
        <f t="shared" si="13"/>
        <v>389.31617356799995</v>
      </c>
      <c r="AL57" s="66">
        <f t="shared" si="13"/>
        <v>383.322223872</v>
      </c>
      <c r="AM57" s="66">
        <f t="shared" si="13"/>
        <v>232.60339199999999</v>
      </c>
      <c r="AN57" s="66">
        <f t="shared" si="13"/>
        <v>232.60339199999999</v>
      </c>
      <c r="AO57" s="66">
        <f t="shared" si="13"/>
        <v>232.60339199999999</v>
      </c>
      <c r="AP57" s="66">
        <f t="shared" si="17"/>
        <v>232.60339199999999</v>
      </c>
      <c r="AQ57" s="66">
        <f t="shared" si="17"/>
        <v>232.60339199999999</v>
      </c>
      <c r="AR57" s="66">
        <f t="shared" si="17"/>
        <v>232.60339199999999</v>
      </c>
      <c r="AS57" s="66">
        <f t="shared" si="17"/>
        <v>232.60339199999999</v>
      </c>
      <c r="AT57" s="66">
        <f t="shared" si="17"/>
        <v>232.60339199999999</v>
      </c>
      <c r="AU57" s="66">
        <f t="shared" si="17"/>
        <v>232.60339199999999</v>
      </c>
      <c r="AV57" s="66">
        <f t="shared" si="17"/>
        <v>232.60339199999999</v>
      </c>
      <c r="AW57" s="66">
        <f t="shared" si="17"/>
        <v>232.60339199999999</v>
      </c>
      <c r="AX57" s="66">
        <f t="shared" si="17"/>
        <v>232.60339199999999</v>
      </c>
      <c r="AY57" s="66">
        <f t="shared" si="17"/>
        <v>232.60339199999999</v>
      </c>
      <c r="AZ57" s="66">
        <f t="shared" si="17"/>
        <v>232.60339199999999</v>
      </c>
      <c r="BA57" s="66">
        <f t="shared" si="17"/>
        <v>232.60339199999999</v>
      </c>
      <c r="BB57" s="66">
        <f t="shared" si="17"/>
        <v>232.60339199999999</v>
      </c>
      <c r="BC57" s="66">
        <f t="shared" si="17"/>
        <v>232.60339199999999</v>
      </c>
      <c r="BD57" s="66">
        <f t="shared" si="17"/>
        <v>232.60339199999999</v>
      </c>
      <c r="BE57" s="66">
        <f t="shared" si="17"/>
        <v>232.60339199999999</v>
      </c>
      <c r="BF57" s="66">
        <f t="shared" si="16"/>
        <v>232.60339199999999</v>
      </c>
      <c r="BG57" s="66">
        <f t="shared" si="16"/>
        <v>232.60339199999999</v>
      </c>
      <c r="BH57" s="66">
        <f t="shared" si="16"/>
        <v>232.60339199999999</v>
      </c>
      <c r="BI57" s="66">
        <f t="shared" si="16"/>
        <v>232.60339199999999</v>
      </c>
      <c r="BJ57" s="66" t="e">
        <f t="shared" si="16"/>
        <v>#DIV/0!</v>
      </c>
      <c r="BK57" s="66" t="e">
        <f t="shared" si="16"/>
        <v>#DIV/0!</v>
      </c>
      <c r="BL57" s="66" t="e">
        <f t="shared" si="16"/>
        <v>#DIV/0!</v>
      </c>
      <c r="BM57" s="66" t="e">
        <f t="shared" si="16"/>
        <v>#DIV/0!</v>
      </c>
    </row>
    <row r="58" spans="2:65" x14ac:dyDescent="0.25">
      <c r="B58" s="156" t="s">
        <v>185</v>
      </c>
      <c r="C58" s="5" t="s">
        <v>186</v>
      </c>
      <c r="D58" s="5" t="s">
        <v>79</v>
      </c>
      <c r="E58" s="5" t="s">
        <v>185</v>
      </c>
      <c r="F58" s="159">
        <v>450.59</v>
      </c>
      <c r="H58" s="5" t="s">
        <v>185</v>
      </c>
      <c r="I58" s="66">
        <f t="shared" si="18"/>
        <v>512.52968747679995</v>
      </c>
      <c r="J58" s="66">
        <f t="shared" si="19"/>
        <v>517.78172846960001</v>
      </c>
      <c r="K58" s="66">
        <f t="shared" si="19"/>
        <v>519.91164937600001</v>
      </c>
      <c r="L58" s="66">
        <f t="shared" si="19"/>
        <v>521.27426958319995</v>
      </c>
      <c r="M58" s="66">
        <f t="shared" si="19"/>
        <v>507.89942463679995</v>
      </c>
      <c r="N58" s="66">
        <f t="shared" si="19"/>
        <v>500.30579357919999</v>
      </c>
      <c r="O58" s="66">
        <f t="shared" si="19"/>
        <v>511.33904846079997</v>
      </c>
      <c r="P58" s="66">
        <f t="shared" si="19"/>
        <v>505.54460524959995</v>
      </c>
      <c r="Q58" s="66">
        <f t="shared" si="19"/>
        <v>502.5018610976</v>
      </c>
      <c r="R58" s="66">
        <f t="shared" si="19"/>
        <v>505.53137592719997</v>
      </c>
      <c r="S58" s="66">
        <f t="shared" si="19"/>
        <v>496.04595176639998</v>
      </c>
      <c r="T58" s="66">
        <f t="shared" si="19"/>
        <v>496.57512466239996</v>
      </c>
      <c r="U58" s="66">
        <f t="shared" si="19"/>
        <v>494.33936917679995</v>
      </c>
      <c r="V58" s="66">
        <f t="shared" si="19"/>
        <v>484.73488111439997</v>
      </c>
      <c r="W58" s="66">
        <f t="shared" si="19"/>
        <v>483.66330599999998</v>
      </c>
      <c r="X58" s="66">
        <f t="shared" si="19"/>
        <v>484.98623823999998</v>
      </c>
      <c r="Y58" s="66">
        <f t="shared" si="19"/>
        <v>491.27016637999998</v>
      </c>
      <c r="Z58" s="66">
        <f t="shared" si="13"/>
        <v>490.21182058799997</v>
      </c>
      <c r="AA58" s="66">
        <f t="shared" si="13"/>
        <v>500.23964696719997</v>
      </c>
      <c r="AB58" s="66">
        <f t="shared" si="13"/>
        <v>510.25424402399995</v>
      </c>
      <c r="AC58" s="66">
        <f t="shared" si="13"/>
        <v>512.87364985919999</v>
      </c>
      <c r="AD58" s="66">
        <f t="shared" si="13"/>
        <v>506.23253001439997</v>
      </c>
      <c r="AE58" s="66">
        <f t="shared" si="13"/>
        <v>510.34684928079997</v>
      </c>
      <c r="AF58" s="66">
        <f t="shared" si="13"/>
        <v>515.99576994559993</v>
      </c>
      <c r="AG58" s="66">
        <f t="shared" si="13"/>
        <v>511.65655219839999</v>
      </c>
      <c r="AH58" s="66">
        <f t="shared" si="13"/>
        <v>521.98865299279998</v>
      </c>
      <c r="AI58" s="66">
        <f t="shared" si="13"/>
        <v>526.49985193119994</v>
      </c>
      <c r="AJ58" s="66">
        <f t="shared" si="13"/>
        <v>536.83195272559999</v>
      </c>
      <c r="AK58" s="66">
        <f t="shared" si="13"/>
        <v>532.74409210399995</v>
      </c>
      <c r="AL58" s="66">
        <f t="shared" si="13"/>
        <v>524.54191221600001</v>
      </c>
      <c r="AM58" s="66">
        <f t="shared" si="13"/>
        <v>318.29677599999997</v>
      </c>
      <c r="AN58" s="66">
        <f t="shared" si="13"/>
        <v>318.29677599999997</v>
      </c>
      <c r="AO58" s="66">
        <f t="shared" si="13"/>
        <v>318.29677599999997</v>
      </c>
      <c r="AP58" s="66">
        <f t="shared" si="17"/>
        <v>318.29677599999997</v>
      </c>
      <c r="AQ58" s="66">
        <f t="shared" si="17"/>
        <v>318.29677599999997</v>
      </c>
      <c r="AR58" s="66">
        <f t="shared" si="17"/>
        <v>318.29677599999997</v>
      </c>
      <c r="AS58" s="66">
        <f t="shared" si="17"/>
        <v>318.29677599999997</v>
      </c>
      <c r="AT58" s="66">
        <f t="shared" si="17"/>
        <v>318.29677599999997</v>
      </c>
      <c r="AU58" s="66">
        <f t="shared" si="17"/>
        <v>318.29677599999997</v>
      </c>
      <c r="AV58" s="66">
        <f t="shared" si="17"/>
        <v>318.29677599999997</v>
      </c>
      <c r="AW58" s="66">
        <f t="shared" si="17"/>
        <v>318.29677599999997</v>
      </c>
      <c r="AX58" s="66">
        <f t="shared" si="17"/>
        <v>318.29677599999997</v>
      </c>
      <c r="AY58" s="66">
        <f t="shared" si="17"/>
        <v>318.29677599999997</v>
      </c>
      <c r="AZ58" s="66">
        <f t="shared" si="17"/>
        <v>318.29677599999997</v>
      </c>
      <c r="BA58" s="66">
        <f t="shared" si="17"/>
        <v>318.29677599999997</v>
      </c>
      <c r="BB58" s="66">
        <f t="shared" si="17"/>
        <v>318.29677599999997</v>
      </c>
      <c r="BC58" s="66">
        <f t="shared" si="17"/>
        <v>318.29677599999997</v>
      </c>
      <c r="BD58" s="66">
        <f t="shared" si="17"/>
        <v>318.29677599999997</v>
      </c>
      <c r="BE58" s="66">
        <f t="shared" si="17"/>
        <v>318.29677599999997</v>
      </c>
      <c r="BF58" s="66">
        <f t="shared" si="16"/>
        <v>318.29677599999997</v>
      </c>
      <c r="BG58" s="66">
        <f t="shared" si="16"/>
        <v>318.29677599999997</v>
      </c>
      <c r="BH58" s="66">
        <f t="shared" si="16"/>
        <v>318.29677599999997</v>
      </c>
      <c r="BI58" s="66">
        <f t="shared" si="16"/>
        <v>318.29677599999997</v>
      </c>
      <c r="BJ58" s="66" t="e">
        <f t="shared" si="16"/>
        <v>#DIV/0!</v>
      </c>
      <c r="BK58" s="66" t="e">
        <f t="shared" si="16"/>
        <v>#DIV/0!</v>
      </c>
      <c r="BL58" s="66" t="e">
        <f t="shared" si="16"/>
        <v>#DIV/0!</v>
      </c>
      <c r="BM58" s="66" t="e">
        <f t="shared" si="16"/>
        <v>#DIV/0!</v>
      </c>
    </row>
    <row r="59" spans="2:65" x14ac:dyDescent="0.25">
      <c r="B59" s="156" t="s">
        <v>187</v>
      </c>
      <c r="C59" s="5" t="s">
        <v>177</v>
      </c>
      <c r="D59" s="5" t="s">
        <v>79</v>
      </c>
      <c r="E59" s="5" t="s">
        <v>187</v>
      </c>
      <c r="F59" s="138">
        <v>450.59</v>
      </c>
      <c r="H59" s="134" t="s">
        <v>187</v>
      </c>
      <c r="I59" s="66">
        <f t="shared" si="18"/>
        <v>512.52968747679995</v>
      </c>
      <c r="J59" s="66">
        <f t="shared" si="19"/>
        <v>517.78172846960001</v>
      </c>
      <c r="K59" s="66">
        <f t="shared" si="19"/>
        <v>519.91164937600001</v>
      </c>
      <c r="L59" s="66">
        <f t="shared" si="19"/>
        <v>521.27426958319995</v>
      </c>
      <c r="M59" s="66">
        <f t="shared" si="19"/>
        <v>507.89942463679995</v>
      </c>
      <c r="N59" s="66">
        <f t="shared" si="19"/>
        <v>500.30579357919999</v>
      </c>
      <c r="O59" s="66">
        <f t="shared" si="19"/>
        <v>511.33904846079997</v>
      </c>
      <c r="P59" s="66">
        <f t="shared" si="19"/>
        <v>505.54460524959995</v>
      </c>
      <c r="Q59" s="66">
        <f t="shared" si="19"/>
        <v>502.5018610976</v>
      </c>
      <c r="R59" s="66">
        <f t="shared" si="19"/>
        <v>505.53137592719997</v>
      </c>
      <c r="S59" s="66">
        <f t="shared" si="19"/>
        <v>496.04595176639998</v>
      </c>
      <c r="T59" s="66">
        <f t="shared" si="19"/>
        <v>496.57512466239996</v>
      </c>
      <c r="U59" s="66">
        <f t="shared" si="19"/>
        <v>494.33936917679995</v>
      </c>
      <c r="V59" s="66">
        <f t="shared" si="19"/>
        <v>484.73488111439997</v>
      </c>
      <c r="W59" s="66">
        <f t="shared" si="19"/>
        <v>483.66330599999998</v>
      </c>
      <c r="X59" s="66">
        <f t="shared" si="19"/>
        <v>484.98623823999998</v>
      </c>
      <c r="Y59" s="66">
        <f t="shared" si="19"/>
        <v>491.27016637999998</v>
      </c>
      <c r="Z59" s="66">
        <f t="shared" si="13"/>
        <v>490.21182058799997</v>
      </c>
      <c r="AA59" s="66">
        <f t="shared" si="13"/>
        <v>500.23964696719997</v>
      </c>
      <c r="AB59" s="66">
        <f t="shared" si="13"/>
        <v>510.25424402399995</v>
      </c>
      <c r="AC59" s="66">
        <f t="shared" si="13"/>
        <v>512.87364985919999</v>
      </c>
      <c r="AD59" s="66">
        <f t="shared" si="13"/>
        <v>506.23253001439997</v>
      </c>
      <c r="AE59" s="66">
        <f t="shared" si="13"/>
        <v>510.34684928079997</v>
      </c>
      <c r="AF59" s="66">
        <f t="shared" si="13"/>
        <v>515.99576994559993</v>
      </c>
      <c r="AG59" s="66">
        <f t="shared" si="13"/>
        <v>511.65655219839999</v>
      </c>
      <c r="AH59" s="66">
        <f t="shared" si="13"/>
        <v>521.98865299279998</v>
      </c>
      <c r="AI59" s="66">
        <f t="shared" si="13"/>
        <v>526.49985193119994</v>
      </c>
      <c r="AJ59" s="66">
        <f t="shared" si="13"/>
        <v>536.83195272559999</v>
      </c>
      <c r="AK59" s="66">
        <f t="shared" si="13"/>
        <v>532.74409210399995</v>
      </c>
      <c r="AL59" s="66">
        <f t="shared" si="13"/>
        <v>524.54191221600001</v>
      </c>
      <c r="AM59" s="66">
        <f t="shared" si="13"/>
        <v>318.29677599999997</v>
      </c>
      <c r="AN59" s="66">
        <f t="shared" si="13"/>
        <v>318.29677599999997</v>
      </c>
      <c r="AO59" s="66">
        <f t="shared" si="13"/>
        <v>318.29677599999997</v>
      </c>
      <c r="AP59" s="66">
        <f t="shared" si="17"/>
        <v>318.29677599999997</v>
      </c>
      <c r="AQ59" s="66">
        <f t="shared" si="17"/>
        <v>318.29677599999997</v>
      </c>
      <c r="AR59" s="66">
        <f t="shared" si="17"/>
        <v>318.29677599999997</v>
      </c>
      <c r="AS59" s="66">
        <f t="shared" si="17"/>
        <v>318.29677599999997</v>
      </c>
      <c r="AT59" s="66">
        <f t="shared" si="17"/>
        <v>318.29677599999997</v>
      </c>
      <c r="AU59" s="66">
        <f t="shared" si="17"/>
        <v>318.29677599999997</v>
      </c>
      <c r="AV59" s="66">
        <f t="shared" si="17"/>
        <v>318.29677599999997</v>
      </c>
      <c r="AW59" s="66">
        <f t="shared" si="17"/>
        <v>318.29677599999997</v>
      </c>
      <c r="AX59" s="66">
        <f t="shared" si="17"/>
        <v>318.29677599999997</v>
      </c>
      <c r="AY59" s="66">
        <f t="shared" si="17"/>
        <v>318.29677599999997</v>
      </c>
      <c r="AZ59" s="66">
        <f t="shared" si="17"/>
        <v>318.29677599999997</v>
      </c>
      <c r="BA59" s="66">
        <f t="shared" si="17"/>
        <v>318.29677599999997</v>
      </c>
      <c r="BB59" s="66">
        <f t="shared" si="17"/>
        <v>318.29677599999997</v>
      </c>
      <c r="BC59" s="66">
        <f t="shared" si="17"/>
        <v>318.29677599999997</v>
      </c>
      <c r="BD59" s="66">
        <f t="shared" si="17"/>
        <v>318.29677599999997</v>
      </c>
      <c r="BE59" s="66">
        <f t="shared" si="17"/>
        <v>318.29677599999997</v>
      </c>
      <c r="BF59" s="66">
        <f t="shared" si="16"/>
        <v>318.29677599999997</v>
      </c>
      <c r="BG59" s="66">
        <f t="shared" si="16"/>
        <v>318.29677599999997</v>
      </c>
      <c r="BH59" s="66">
        <f t="shared" si="16"/>
        <v>318.29677599999997</v>
      </c>
      <c r="BI59" s="66">
        <f t="shared" si="16"/>
        <v>318.29677599999997</v>
      </c>
      <c r="BJ59" s="66" t="e">
        <f t="shared" si="16"/>
        <v>#DIV/0!</v>
      </c>
      <c r="BK59" s="66" t="e">
        <f t="shared" si="16"/>
        <v>#DIV/0!</v>
      </c>
      <c r="BL59" s="66" t="e">
        <f t="shared" si="16"/>
        <v>#DIV/0!</v>
      </c>
      <c r="BM59" s="66" t="e">
        <f t="shared" si="16"/>
        <v>#DIV/0!</v>
      </c>
    </row>
    <row r="60" spans="2:65" x14ac:dyDescent="0.25">
      <c r="B60" s="156" t="s">
        <v>190</v>
      </c>
      <c r="C60" s="5" t="s">
        <v>177</v>
      </c>
      <c r="D60" s="5" t="s">
        <v>79</v>
      </c>
      <c r="E60" s="5" t="s">
        <v>200</v>
      </c>
      <c r="F60" s="138">
        <v>317.73</v>
      </c>
      <c r="H60" s="5" t="s">
        <v>200</v>
      </c>
      <c r="I60" s="66">
        <f t="shared" ref="I60:I63" si="20">(F60*$I$12)+$F60</f>
        <v>361.40628420960002</v>
      </c>
      <c r="J60" s="66">
        <f t="shared" si="19"/>
        <v>365.10971967120003</v>
      </c>
      <c r="K60" s="66">
        <f t="shared" si="19"/>
        <v>366.61161667200003</v>
      </c>
      <c r="L60" s="66">
        <f t="shared" si="19"/>
        <v>367.57245761040002</v>
      </c>
      <c r="M60" s="66">
        <f t="shared" si="19"/>
        <v>358.14129072960003</v>
      </c>
      <c r="N60" s="66">
        <f t="shared" si="19"/>
        <v>352.78670142240003</v>
      </c>
      <c r="O60" s="66">
        <f t="shared" si="19"/>
        <v>360.56671445760003</v>
      </c>
      <c r="P60" s="66">
        <f t="shared" si="19"/>
        <v>356.48080833120002</v>
      </c>
      <c r="Q60" s="66">
        <f t="shared" si="19"/>
        <v>354.33524118720004</v>
      </c>
      <c r="R60" s="66">
        <f t="shared" si="19"/>
        <v>356.47147977840001</v>
      </c>
      <c r="S60" s="66">
        <f t="shared" si="19"/>
        <v>349.78290742080003</v>
      </c>
      <c r="T60" s="66">
        <f t="shared" si="19"/>
        <v>350.15604953280001</v>
      </c>
      <c r="U60" s="66">
        <f t="shared" si="19"/>
        <v>348.57952410960002</v>
      </c>
      <c r="V60" s="66">
        <f t="shared" si="19"/>
        <v>341.80699477680002</v>
      </c>
      <c r="W60" s="66">
        <f t="shared" si="19"/>
        <v>341.05138200000005</v>
      </c>
      <c r="X60" s="66">
        <f t="shared" si="19"/>
        <v>341.98423728</v>
      </c>
      <c r="Y60" s="66">
        <f t="shared" si="19"/>
        <v>346.41529986</v>
      </c>
      <c r="Z60" s="66">
        <f t="shared" si="13"/>
        <v>345.66901563600004</v>
      </c>
      <c r="AA60" s="66">
        <f t="shared" si="13"/>
        <v>352.74005865840002</v>
      </c>
      <c r="AB60" s="66">
        <f t="shared" si="13"/>
        <v>359.80177312800004</v>
      </c>
      <c r="AC60" s="66">
        <f t="shared" si="13"/>
        <v>361.64882658240003</v>
      </c>
      <c r="AD60" s="66">
        <f t="shared" si="13"/>
        <v>356.9658930768</v>
      </c>
      <c r="AE60" s="66">
        <f t="shared" si="13"/>
        <v>359.86707299760002</v>
      </c>
      <c r="AF60" s="66">
        <f t="shared" si="13"/>
        <v>363.85036504320004</v>
      </c>
      <c r="AG60" s="66">
        <f t="shared" si="13"/>
        <v>360.79059972480002</v>
      </c>
      <c r="AH60" s="66">
        <f t="shared" si="13"/>
        <v>368.07619946160003</v>
      </c>
      <c r="AI60" s="66">
        <f t="shared" si="13"/>
        <v>371.2572359664</v>
      </c>
      <c r="AJ60" s="66">
        <f t="shared" si="13"/>
        <v>378.54283570320001</v>
      </c>
      <c r="AK60" s="66">
        <f t="shared" si="13"/>
        <v>375.66031288800002</v>
      </c>
      <c r="AL60" s="66">
        <f t="shared" si="13"/>
        <v>369.87661015200001</v>
      </c>
      <c r="AM60" s="66">
        <f t="shared" si="13"/>
        <v>224.44447200000002</v>
      </c>
      <c r="AN60" s="66">
        <f t="shared" si="13"/>
        <v>224.44447200000002</v>
      </c>
      <c r="AO60" s="66">
        <f t="shared" si="13"/>
        <v>224.44447200000002</v>
      </c>
      <c r="AP60" s="66">
        <f t="shared" si="17"/>
        <v>224.44447200000002</v>
      </c>
      <c r="AQ60" s="66">
        <f t="shared" si="17"/>
        <v>224.44447200000002</v>
      </c>
      <c r="AR60" s="66">
        <f t="shared" si="17"/>
        <v>224.44447200000002</v>
      </c>
      <c r="AS60" s="66">
        <f t="shared" si="17"/>
        <v>224.44447200000002</v>
      </c>
      <c r="AT60" s="66">
        <f t="shared" si="17"/>
        <v>224.44447200000002</v>
      </c>
      <c r="AU60" s="66">
        <f t="shared" si="17"/>
        <v>224.44447200000002</v>
      </c>
      <c r="AV60" s="66">
        <f t="shared" si="17"/>
        <v>224.44447200000002</v>
      </c>
      <c r="AW60" s="66">
        <f t="shared" si="17"/>
        <v>224.44447200000002</v>
      </c>
      <c r="AX60" s="66">
        <f t="shared" si="17"/>
        <v>224.44447200000002</v>
      </c>
      <c r="AY60" s="66">
        <f t="shared" si="17"/>
        <v>224.44447200000002</v>
      </c>
      <c r="AZ60" s="66">
        <f t="shared" si="17"/>
        <v>224.44447200000002</v>
      </c>
      <c r="BA60" s="66">
        <f t="shared" si="17"/>
        <v>224.44447200000002</v>
      </c>
      <c r="BB60" s="66">
        <f t="shared" si="17"/>
        <v>224.44447200000002</v>
      </c>
      <c r="BC60" s="66">
        <f t="shared" si="17"/>
        <v>224.44447200000002</v>
      </c>
      <c r="BD60" s="66">
        <f t="shared" si="17"/>
        <v>224.44447200000002</v>
      </c>
      <c r="BE60" s="66">
        <f t="shared" si="17"/>
        <v>224.44447200000002</v>
      </c>
      <c r="BF60" s="66">
        <f t="shared" si="16"/>
        <v>224.44447200000002</v>
      </c>
      <c r="BG60" s="66">
        <f t="shared" si="16"/>
        <v>224.44447200000002</v>
      </c>
      <c r="BH60" s="66">
        <f t="shared" si="16"/>
        <v>224.44447200000002</v>
      </c>
      <c r="BI60" s="66">
        <f t="shared" si="16"/>
        <v>224.44447200000002</v>
      </c>
      <c r="BJ60" s="66" t="e">
        <f t="shared" si="16"/>
        <v>#DIV/0!</v>
      </c>
      <c r="BK60" s="66" t="e">
        <f t="shared" si="16"/>
        <v>#DIV/0!</v>
      </c>
      <c r="BL60" s="66" t="e">
        <f t="shared" si="16"/>
        <v>#DIV/0!</v>
      </c>
      <c r="BM60" s="66" t="e">
        <f t="shared" si="16"/>
        <v>#DIV/0!</v>
      </c>
    </row>
    <row r="61" spans="2:65" x14ac:dyDescent="0.25">
      <c r="B61" s="156" t="s">
        <v>196</v>
      </c>
      <c r="C61" s="5" t="s">
        <v>186</v>
      </c>
      <c r="D61" s="5" t="s">
        <v>79</v>
      </c>
      <c r="E61" s="5" t="s">
        <v>196</v>
      </c>
      <c r="F61" s="138">
        <v>623.9</v>
      </c>
      <c r="H61" s="5" t="s">
        <v>196</v>
      </c>
      <c r="I61" s="66">
        <f t="shared" si="20"/>
        <v>709.66349012799992</v>
      </c>
      <c r="J61" s="66">
        <f t="shared" si="19"/>
        <v>716.93561861599994</v>
      </c>
      <c r="K61" s="66">
        <f t="shared" si="19"/>
        <v>719.88476895999997</v>
      </c>
      <c r="L61" s="66">
        <f t="shared" si="19"/>
        <v>721.77149247199998</v>
      </c>
      <c r="M61" s="66">
        <f t="shared" si="19"/>
        <v>703.25229372799993</v>
      </c>
      <c r="N61" s="66">
        <f t="shared" si="19"/>
        <v>692.73793163200003</v>
      </c>
      <c r="O61" s="66">
        <f t="shared" si="19"/>
        <v>708.01489676799997</v>
      </c>
      <c r="P61" s="66">
        <f t="shared" si="19"/>
        <v>699.99174241599997</v>
      </c>
      <c r="Q61" s="66">
        <f t="shared" si="19"/>
        <v>695.77867049600002</v>
      </c>
      <c r="R61" s="66">
        <f t="shared" si="19"/>
        <v>699.973424712</v>
      </c>
      <c r="S61" s="66">
        <f t="shared" si="19"/>
        <v>686.83963094399996</v>
      </c>
      <c r="T61" s="66">
        <f t="shared" si="19"/>
        <v>687.57233910399998</v>
      </c>
      <c r="U61" s="66">
        <f t="shared" si="19"/>
        <v>684.47664712799997</v>
      </c>
      <c r="V61" s="66">
        <f t="shared" si="19"/>
        <v>671.17799402399999</v>
      </c>
      <c r="W61" s="66">
        <f t="shared" si="19"/>
        <v>669.69425999999999</v>
      </c>
      <c r="X61" s="66">
        <f t="shared" si="19"/>
        <v>671.52603039999997</v>
      </c>
      <c r="Y61" s="66">
        <f t="shared" si="19"/>
        <v>680.22693979999997</v>
      </c>
      <c r="Z61" s="66">
        <f t="shared" si="13"/>
        <v>678.76152347999994</v>
      </c>
      <c r="AA61" s="66">
        <f t="shared" si="13"/>
        <v>692.64634311199995</v>
      </c>
      <c r="AB61" s="66">
        <f t="shared" si="13"/>
        <v>706.51284504</v>
      </c>
      <c r="AC61" s="66">
        <f t="shared" si="13"/>
        <v>710.13975043200003</v>
      </c>
      <c r="AD61" s="66">
        <f t="shared" si="13"/>
        <v>700.94426302399995</v>
      </c>
      <c r="AE61" s="66">
        <f t="shared" si="13"/>
        <v>706.6410689679999</v>
      </c>
      <c r="AF61" s="66">
        <f t="shared" si="13"/>
        <v>714.46272857600002</v>
      </c>
      <c r="AG61" s="66">
        <f t="shared" si="13"/>
        <v>708.45452166399991</v>
      </c>
      <c r="AH61" s="66">
        <f t="shared" si="13"/>
        <v>722.76064848800002</v>
      </c>
      <c r="AI61" s="66">
        <f t="shared" si="13"/>
        <v>729.00698555199995</v>
      </c>
      <c r="AJ61" s="66">
        <f t="shared" si="13"/>
        <v>743.31311237599994</v>
      </c>
      <c r="AK61" s="66">
        <f t="shared" si="13"/>
        <v>737.65294184000004</v>
      </c>
      <c r="AL61" s="66">
        <f t="shared" si="13"/>
        <v>726.29596535999997</v>
      </c>
      <c r="AM61" s="66">
        <f t="shared" si="13"/>
        <v>440.72295999999994</v>
      </c>
      <c r="AN61" s="66">
        <f t="shared" si="13"/>
        <v>440.72295999999994</v>
      </c>
      <c r="AO61" s="66">
        <f t="shared" si="13"/>
        <v>440.72295999999994</v>
      </c>
      <c r="AP61" s="66">
        <f t="shared" si="17"/>
        <v>440.72295999999994</v>
      </c>
      <c r="AQ61" s="66">
        <f t="shared" si="17"/>
        <v>440.72295999999994</v>
      </c>
      <c r="AR61" s="66">
        <f t="shared" si="17"/>
        <v>440.72295999999994</v>
      </c>
      <c r="AS61" s="66">
        <f t="shared" si="17"/>
        <v>440.72295999999994</v>
      </c>
      <c r="AT61" s="66">
        <f t="shared" si="17"/>
        <v>440.72295999999994</v>
      </c>
      <c r="AU61" s="66">
        <f t="shared" si="17"/>
        <v>440.72295999999994</v>
      </c>
      <c r="AV61" s="66">
        <f t="shared" si="17"/>
        <v>440.72295999999994</v>
      </c>
      <c r="AW61" s="66">
        <f t="shared" si="17"/>
        <v>440.72295999999994</v>
      </c>
      <c r="AX61" s="66">
        <f t="shared" si="17"/>
        <v>440.72295999999994</v>
      </c>
      <c r="AY61" s="66">
        <f t="shared" si="17"/>
        <v>440.72295999999994</v>
      </c>
      <c r="AZ61" s="66">
        <f t="shared" si="17"/>
        <v>440.72295999999994</v>
      </c>
      <c r="BA61" s="66">
        <f t="shared" si="17"/>
        <v>440.72295999999994</v>
      </c>
      <c r="BB61" s="66">
        <f t="shared" si="17"/>
        <v>440.72295999999994</v>
      </c>
      <c r="BC61" s="66">
        <f t="shared" si="17"/>
        <v>440.72295999999994</v>
      </c>
      <c r="BD61" s="66">
        <f t="shared" si="17"/>
        <v>440.72295999999994</v>
      </c>
      <c r="BE61" s="66">
        <f t="shared" si="17"/>
        <v>440.72295999999994</v>
      </c>
      <c r="BF61" s="66">
        <f t="shared" si="16"/>
        <v>440.72295999999994</v>
      </c>
      <c r="BG61" s="66">
        <f t="shared" si="16"/>
        <v>440.72295999999994</v>
      </c>
      <c r="BH61" s="66">
        <f t="shared" si="16"/>
        <v>440.72295999999994</v>
      </c>
      <c r="BI61" s="66">
        <f t="shared" si="16"/>
        <v>440.72295999999994</v>
      </c>
      <c r="BJ61" s="66" t="e">
        <f t="shared" si="16"/>
        <v>#DIV/0!</v>
      </c>
      <c r="BK61" s="66" t="e">
        <f t="shared" si="16"/>
        <v>#DIV/0!</v>
      </c>
      <c r="BL61" s="66" t="e">
        <f t="shared" si="16"/>
        <v>#DIV/0!</v>
      </c>
      <c r="BM61" s="66" t="e">
        <f t="shared" si="16"/>
        <v>#DIV/0!</v>
      </c>
    </row>
    <row r="62" spans="2:65" x14ac:dyDescent="0.25">
      <c r="B62" s="156" t="s">
        <v>197</v>
      </c>
      <c r="C62" s="5" t="s">
        <v>186</v>
      </c>
      <c r="D62" s="5" t="s">
        <v>79</v>
      </c>
      <c r="E62" s="5" t="s">
        <v>197</v>
      </c>
      <c r="F62" s="138">
        <v>196.41</v>
      </c>
      <c r="H62" s="5" t="s">
        <v>197</v>
      </c>
      <c r="I62" s="66">
        <f t="shared" si="20"/>
        <v>223.4092099632</v>
      </c>
      <c r="J62" s="66">
        <f t="shared" si="19"/>
        <v>225.69854921039999</v>
      </c>
      <c r="K62" s="66">
        <f t="shared" si="19"/>
        <v>226.626971424</v>
      </c>
      <c r="L62" s="66">
        <f t="shared" si="19"/>
        <v>227.22093097679999</v>
      </c>
      <c r="M62" s="66">
        <f t="shared" si="19"/>
        <v>221.3909008032</v>
      </c>
      <c r="N62" s="66">
        <f t="shared" si="19"/>
        <v>218.0808737808</v>
      </c>
      <c r="O62" s="66">
        <f t="shared" si="19"/>
        <v>222.8902161792</v>
      </c>
      <c r="P62" s="66">
        <f t="shared" si="19"/>
        <v>220.36444643039999</v>
      </c>
      <c r="Q62" s="66">
        <f t="shared" si="19"/>
        <v>219.0381289824</v>
      </c>
      <c r="R62" s="66">
        <f t="shared" si="19"/>
        <v>220.35867983279999</v>
      </c>
      <c r="S62" s="66">
        <f t="shared" si="19"/>
        <v>216.2240293536</v>
      </c>
      <c r="T62" s="66">
        <f t="shared" si="19"/>
        <v>216.45469325759998</v>
      </c>
      <c r="U62" s="66">
        <f t="shared" si="19"/>
        <v>215.48013826319999</v>
      </c>
      <c r="V62" s="66">
        <f t="shared" si="19"/>
        <v>211.29358840559999</v>
      </c>
      <c r="W62" s="66">
        <f t="shared" si="19"/>
        <v>210.826494</v>
      </c>
      <c r="X62" s="66">
        <f t="shared" si="19"/>
        <v>211.40315376000001</v>
      </c>
      <c r="Y62" s="66">
        <f t="shared" si="19"/>
        <v>214.14228761999999</v>
      </c>
      <c r="Z62" s="66">
        <f t="shared" ref="Z62:AO65" si="21">($F62*Z$12)+$F62</f>
        <v>213.680959812</v>
      </c>
      <c r="AA62" s="66">
        <f t="shared" si="21"/>
        <v>218.0520407928</v>
      </c>
      <c r="AB62" s="66">
        <f t="shared" si="21"/>
        <v>222.417355176</v>
      </c>
      <c r="AC62" s="66">
        <f t="shared" si="21"/>
        <v>223.5591415008</v>
      </c>
      <c r="AD62" s="66">
        <f t="shared" si="21"/>
        <v>220.66430950559999</v>
      </c>
      <c r="AE62" s="66">
        <f t="shared" si="21"/>
        <v>222.45772135919998</v>
      </c>
      <c r="AF62" s="66">
        <f t="shared" si="21"/>
        <v>224.9200585344</v>
      </c>
      <c r="AG62" s="66">
        <f t="shared" si="21"/>
        <v>223.02861452159999</v>
      </c>
      <c r="AH62" s="66">
        <f t="shared" si="21"/>
        <v>227.53232724719999</v>
      </c>
      <c r="AI62" s="66">
        <f t="shared" si="21"/>
        <v>229.49873702880001</v>
      </c>
      <c r="AJ62" s="66">
        <f t="shared" si="21"/>
        <v>234.0024497544</v>
      </c>
      <c r="AK62" s="66">
        <f t="shared" si="21"/>
        <v>232.22057109599999</v>
      </c>
      <c r="AL62" s="66">
        <f t="shared" si="21"/>
        <v>228.64528058400001</v>
      </c>
      <c r="AM62" s="66">
        <f t="shared" si="21"/>
        <v>138.744024</v>
      </c>
      <c r="AN62" s="66">
        <f t="shared" si="21"/>
        <v>138.744024</v>
      </c>
      <c r="AO62" s="66">
        <f t="shared" si="21"/>
        <v>138.744024</v>
      </c>
      <c r="AP62" s="66">
        <f t="shared" si="17"/>
        <v>138.744024</v>
      </c>
      <c r="AQ62" s="66">
        <f t="shared" si="17"/>
        <v>138.744024</v>
      </c>
      <c r="AR62" s="66">
        <f t="shared" si="17"/>
        <v>138.744024</v>
      </c>
      <c r="AS62" s="66">
        <f t="shared" si="17"/>
        <v>138.744024</v>
      </c>
      <c r="AT62" s="66">
        <f t="shared" si="17"/>
        <v>138.744024</v>
      </c>
      <c r="AU62" s="66">
        <f t="shared" si="17"/>
        <v>138.744024</v>
      </c>
      <c r="AV62" s="66">
        <f t="shared" si="17"/>
        <v>138.744024</v>
      </c>
      <c r="AW62" s="66">
        <f t="shared" si="17"/>
        <v>138.744024</v>
      </c>
      <c r="AX62" s="66">
        <f t="shared" si="17"/>
        <v>138.744024</v>
      </c>
      <c r="AY62" s="66">
        <f t="shared" si="17"/>
        <v>138.744024</v>
      </c>
      <c r="AZ62" s="66">
        <f t="shared" si="17"/>
        <v>138.744024</v>
      </c>
      <c r="BA62" s="66">
        <f t="shared" si="17"/>
        <v>138.744024</v>
      </c>
      <c r="BB62" s="66">
        <f t="shared" si="17"/>
        <v>138.744024</v>
      </c>
      <c r="BC62" s="66">
        <f t="shared" si="17"/>
        <v>138.744024</v>
      </c>
      <c r="BD62" s="66">
        <f t="shared" si="17"/>
        <v>138.744024</v>
      </c>
      <c r="BE62" s="66">
        <f t="shared" si="17"/>
        <v>138.744024</v>
      </c>
      <c r="BF62" s="66">
        <f t="shared" si="16"/>
        <v>138.744024</v>
      </c>
      <c r="BG62" s="66">
        <f t="shared" si="16"/>
        <v>138.744024</v>
      </c>
      <c r="BH62" s="66">
        <f t="shared" si="16"/>
        <v>138.744024</v>
      </c>
      <c r="BI62" s="66">
        <f t="shared" si="16"/>
        <v>138.744024</v>
      </c>
      <c r="BJ62" s="66" t="e">
        <f t="shared" si="16"/>
        <v>#DIV/0!</v>
      </c>
      <c r="BK62" s="66" t="e">
        <f t="shared" si="16"/>
        <v>#DIV/0!</v>
      </c>
      <c r="BL62" s="66" t="e">
        <f t="shared" si="16"/>
        <v>#DIV/0!</v>
      </c>
      <c r="BM62" s="66" t="e">
        <f t="shared" si="16"/>
        <v>#DIV/0!</v>
      </c>
    </row>
    <row r="63" spans="2:65" x14ac:dyDescent="0.25">
      <c r="B63" s="156" t="s">
        <v>198</v>
      </c>
      <c r="C63" s="5" t="s">
        <v>186</v>
      </c>
      <c r="D63" s="5" t="s">
        <v>79</v>
      </c>
      <c r="E63" s="5" t="s">
        <v>198</v>
      </c>
      <c r="F63" s="138">
        <v>329.28</v>
      </c>
      <c r="H63" s="5" t="s">
        <v>198</v>
      </c>
      <c r="I63" s="66">
        <f t="shared" si="20"/>
        <v>374.5439878656</v>
      </c>
      <c r="J63" s="66">
        <f t="shared" si="19"/>
        <v>378.38204920319998</v>
      </c>
      <c r="K63" s="66">
        <f t="shared" si="19"/>
        <v>379.93854259199998</v>
      </c>
      <c r="L63" s="66">
        <f t="shared" si="19"/>
        <v>380.93431165439995</v>
      </c>
      <c r="M63" s="66">
        <f t="shared" si="19"/>
        <v>371.16030658559998</v>
      </c>
      <c r="N63" s="66">
        <f t="shared" si="19"/>
        <v>365.61106928639998</v>
      </c>
      <c r="O63" s="66">
        <f t="shared" si="19"/>
        <v>373.67389839359998</v>
      </c>
      <c r="P63" s="66">
        <f t="shared" si="19"/>
        <v>369.43946296319996</v>
      </c>
      <c r="Q63" s="66">
        <f t="shared" si="19"/>
        <v>367.2159009792</v>
      </c>
      <c r="R63" s="66">
        <f t="shared" si="19"/>
        <v>369.42979530239995</v>
      </c>
      <c r="S63" s="66">
        <f t="shared" si="19"/>
        <v>362.4980825088</v>
      </c>
      <c r="T63" s="66">
        <f t="shared" si="19"/>
        <v>362.88478894079998</v>
      </c>
      <c r="U63" s="66">
        <f t="shared" si="19"/>
        <v>361.25095426559994</v>
      </c>
      <c r="V63" s="66">
        <f t="shared" si="19"/>
        <v>354.2322325248</v>
      </c>
      <c r="W63" s="66">
        <f t="shared" si="19"/>
        <v>353.44915199999997</v>
      </c>
      <c r="X63" s="66">
        <f t="shared" si="19"/>
        <v>354.41591807999998</v>
      </c>
      <c r="Y63" s="66">
        <f t="shared" si="19"/>
        <v>359.00805695999998</v>
      </c>
      <c r="Z63" s="66">
        <f t="shared" si="21"/>
        <v>358.23464409599995</v>
      </c>
      <c r="AA63" s="66">
        <f t="shared" si="21"/>
        <v>365.56273098239996</v>
      </c>
      <c r="AB63" s="66">
        <f t="shared" si="21"/>
        <v>372.88115020799995</v>
      </c>
      <c r="AC63" s="66">
        <f t="shared" si="21"/>
        <v>374.79534704639997</v>
      </c>
      <c r="AD63" s="66">
        <f t="shared" si="21"/>
        <v>369.9421813248</v>
      </c>
      <c r="AE63" s="66">
        <f t="shared" si="21"/>
        <v>372.94882383359993</v>
      </c>
      <c r="AF63" s="66">
        <f t="shared" si="21"/>
        <v>377.07691499519996</v>
      </c>
      <c r="AG63" s="66">
        <f t="shared" si="21"/>
        <v>373.9059222528</v>
      </c>
      <c r="AH63" s="66">
        <f t="shared" si="21"/>
        <v>381.4563653376</v>
      </c>
      <c r="AI63" s="66">
        <f t="shared" si="21"/>
        <v>384.75303767039998</v>
      </c>
      <c r="AJ63" s="66">
        <f t="shared" si="21"/>
        <v>392.30348075519998</v>
      </c>
      <c r="AK63" s="66">
        <f t="shared" si="21"/>
        <v>389.31617356799995</v>
      </c>
      <c r="AL63" s="66">
        <f t="shared" si="21"/>
        <v>383.322223872</v>
      </c>
      <c r="AM63" s="66">
        <f t="shared" si="21"/>
        <v>232.60339199999999</v>
      </c>
      <c r="AN63" s="66">
        <f t="shared" si="21"/>
        <v>232.60339199999999</v>
      </c>
      <c r="AO63" s="66">
        <f t="shared" si="21"/>
        <v>232.60339199999999</v>
      </c>
      <c r="AP63" s="66">
        <f t="shared" si="17"/>
        <v>232.60339199999999</v>
      </c>
      <c r="AQ63" s="66">
        <f t="shared" si="17"/>
        <v>232.60339199999999</v>
      </c>
      <c r="AR63" s="66">
        <f t="shared" si="17"/>
        <v>232.60339199999999</v>
      </c>
      <c r="AS63" s="66">
        <f t="shared" si="17"/>
        <v>232.60339199999999</v>
      </c>
      <c r="AT63" s="66">
        <f t="shared" si="17"/>
        <v>232.60339199999999</v>
      </c>
      <c r="AU63" s="66">
        <f t="shared" si="17"/>
        <v>232.60339199999999</v>
      </c>
      <c r="AV63" s="66">
        <f t="shared" si="17"/>
        <v>232.60339199999999</v>
      </c>
      <c r="AW63" s="66">
        <f t="shared" si="17"/>
        <v>232.60339199999999</v>
      </c>
      <c r="AX63" s="66">
        <f t="shared" si="17"/>
        <v>232.60339199999999</v>
      </c>
      <c r="AY63" s="66">
        <f t="shared" si="17"/>
        <v>232.60339199999999</v>
      </c>
      <c r="AZ63" s="66">
        <f t="shared" si="17"/>
        <v>232.60339199999999</v>
      </c>
      <c r="BA63" s="66">
        <f t="shared" si="17"/>
        <v>232.60339199999999</v>
      </c>
      <c r="BB63" s="66">
        <f t="shared" si="17"/>
        <v>232.60339199999999</v>
      </c>
      <c r="BC63" s="66">
        <f t="shared" si="17"/>
        <v>232.60339199999999</v>
      </c>
      <c r="BD63" s="66">
        <f t="shared" si="17"/>
        <v>232.60339199999999</v>
      </c>
      <c r="BE63" s="66">
        <f t="shared" si="17"/>
        <v>232.60339199999999</v>
      </c>
      <c r="BF63" s="66">
        <f t="shared" si="16"/>
        <v>232.60339199999999</v>
      </c>
      <c r="BG63" s="66">
        <f t="shared" si="16"/>
        <v>232.60339199999999</v>
      </c>
      <c r="BH63" s="66">
        <f t="shared" si="16"/>
        <v>232.60339199999999</v>
      </c>
      <c r="BI63" s="66">
        <f t="shared" si="16"/>
        <v>232.60339199999999</v>
      </c>
      <c r="BJ63" s="66" t="e">
        <f t="shared" si="16"/>
        <v>#DIV/0!</v>
      </c>
      <c r="BK63" s="66" t="e">
        <f t="shared" si="16"/>
        <v>#DIV/0!</v>
      </c>
      <c r="BL63" s="66" t="e">
        <f t="shared" si="16"/>
        <v>#DIV/0!</v>
      </c>
      <c r="BM63" s="66" t="e">
        <f t="shared" si="16"/>
        <v>#DIV/0!</v>
      </c>
    </row>
    <row r="64" spans="2:65" x14ac:dyDescent="0.25">
      <c r="B64" s="5" t="s">
        <v>202</v>
      </c>
      <c r="C64" s="5" t="s">
        <v>177</v>
      </c>
      <c r="D64" s="5" t="s">
        <v>79</v>
      </c>
      <c r="E64" s="5" t="s">
        <v>202</v>
      </c>
      <c r="F64" s="138">
        <f>433.26+52</f>
        <v>485.26</v>
      </c>
      <c r="H64" s="5" t="s">
        <v>202</v>
      </c>
      <c r="I64" s="66">
        <f t="shared" ref="I64" si="22">(F64*$I$12)+$F64</f>
        <v>551.96554771520005</v>
      </c>
      <c r="J64" s="66">
        <f t="shared" si="19"/>
        <v>557.62169945439996</v>
      </c>
      <c r="K64" s="66">
        <f t="shared" si="19"/>
        <v>559.91550406400006</v>
      </c>
      <c r="L64" s="66">
        <f t="shared" si="19"/>
        <v>561.38296912479996</v>
      </c>
      <c r="M64" s="66">
        <f t="shared" si="19"/>
        <v>546.9790159552</v>
      </c>
      <c r="N64" s="66">
        <f t="shared" si="19"/>
        <v>538.80110386880006</v>
      </c>
      <c r="O64" s="66">
        <f t="shared" si="19"/>
        <v>550.68329669119998</v>
      </c>
      <c r="P64" s="66">
        <f t="shared" si="19"/>
        <v>544.44300837439994</v>
      </c>
      <c r="Q64" s="66">
        <f t="shared" si="19"/>
        <v>541.16614464639997</v>
      </c>
      <c r="R64" s="66">
        <f t="shared" si="19"/>
        <v>544.42876114080002</v>
      </c>
      <c r="S64" s="66">
        <f t="shared" si="19"/>
        <v>534.21349464960008</v>
      </c>
      <c r="T64" s="66">
        <f t="shared" si="19"/>
        <v>534.78338399359995</v>
      </c>
      <c r="U64" s="66">
        <f t="shared" si="19"/>
        <v>532.37560151519995</v>
      </c>
      <c r="V64" s="66">
        <f t="shared" si="19"/>
        <v>522.03210992159995</v>
      </c>
      <c r="W64" s="66">
        <f t="shared" si="19"/>
        <v>520.87808399999994</v>
      </c>
      <c r="X64" s="66">
        <f t="shared" si="19"/>
        <v>522.30280735999997</v>
      </c>
      <c r="Y64" s="66">
        <f t="shared" si="19"/>
        <v>529.07024332000003</v>
      </c>
      <c r="Z64" s="66">
        <f t="shared" si="21"/>
        <v>527.93046463199994</v>
      </c>
      <c r="AA64" s="66">
        <f t="shared" si="21"/>
        <v>538.72986770080001</v>
      </c>
      <c r="AB64" s="66">
        <f t="shared" si="21"/>
        <v>549.51502353599994</v>
      </c>
      <c r="AC64" s="66">
        <f t="shared" si="21"/>
        <v>552.33597578880006</v>
      </c>
      <c r="AD64" s="66">
        <f t="shared" si="21"/>
        <v>545.18386452159996</v>
      </c>
      <c r="AE64" s="66">
        <f t="shared" si="21"/>
        <v>549.61475417119993</v>
      </c>
      <c r="AF64" s="66">
        <f t="shared" si="21"/>
        <v>555.69832291839998</v>
      </c>
      <c r="AG64" s="66">
        <f t="shared" si="21"/>
        <v>551.02523029760005</v>
      </c>
      <c r="AH64" s="66">
        <f t="shared" si="21"/>
        <v>562.15231973920004</v>
      </c>
      <c r="AI64" s="66">
        <f t="shared" si="21"/>
        <v>567.01062639680003</v>
      </c>
      <c r="AJ64" s="66">
        <f t="shared" si="21"/>
        <v>578.13771583840003</v>
      </c>
      <c r="AK64" s="66">
        <f t="shared" si="21"/>
        <v>573.735320656</v>
      </c>
      <c r="AL64" s="66">
        <f t="shared" si="21"/>
        <v>564.902035824</v>
      </c>
      <c r="AM64" s="66">
        <f t="shared" si="21"/>
        <v>342.78766399999995</v>
      </c>
      <c r="AN64" s="66">
        <f t="shared" si="21"/>
        <v>342.78766399999995</v>
      </c>
      <c r="AO64" s="66">
        <f t="shared" si="21"/>
        <v>342.78766399999995</v>
      </c>
      <c r="AP64" s="66">
        <f t="shared" si="17"/>
        <v>342.78766399999995</v>
      </c>
      <c r="AQ64" s="66">
        <f t="shared" si="17"/>
        <v>342.78766399999995</v>
      </c>
      <c r="AR64" s="66">
        <f t="shared" si="17"/>
        <v>342.78766399999995</v>
      </c>
      <c r="AS64" s="66">
        <f t="shared" si="17"/>
        <v>342.78766399999995</v>
      </c>
      <c r="AT64" s="66">
        <f t="shared" si="17"/>
        <v>342.78766399999995</v>
      </c>
      <c r="AU64" s="66">
        <f t="shared" si="17"/>
        <v>342.78766399999995</v>
      </c>
      <c r="AV64" s="66">
        <f t="shared" si="17"/>
        <v>342.78766399999995</v>
      </c>
      <c r="AW64" s="66">
        <f t="shared" si="17"/>
        <v>342.78766399999995</v>
      </c>
      <c r="AX64" s="66">
        <f t="shared" si="17"/>
        <v>342.78766399999995</v>
      </c>
      <c r="AY64" s="66">
        <f t="shared" si="17"/>
        <v>342.78766399999995</v>
      </c>
      <c r="AZ64" s="66">
        <f t="shared" si="17"/>
        <v>342.78766399999995</v>
      </c>
      <c r="BA64" s="66">
        <f t="shared" si="17"/>
        <v>342.78766399999995</v>
      </c>
      <c r="BB64" s="66">
        <f t="shared" si="17"/>
        <v>342.78766399999995</v>
      </c>
      <c r="BC64" s="66">
        <f t="shared" si="17"/>
        <v>342.78766399999995</v>
      </c>
      <c r="BD64" s="66">
        <f t="shared" si="17"/>
        <v>342.78766399999995</v>
      </c>
      <c r="BE64" s="66">
        <f t="shared" si="17"/>
        <v>342.78766399999995</v>
      </c>
      <c r="BF64" s="66">
        <f t="shared" si="16"/>
        <v>342.78766399999995</v>
      </c>
      <c r="BG64" s="66">
        <f t="shared" si="16"/>
        <v>342.78766399999995</v>
      </c>
      <c r="BH64" s="66">
        <f t="shared" si="16"/>
        <v>342.78766399999995</v>
      </c>
      <c r="BI64" s="66">
        <f t="shared" si="16"/>
        <v>342.78766399999995</v>
      </c>
      <c r="BJ64" s="66" t="e">
        <f t="shared" si="16"/>
        <v>#DIV/0!</v>
      </c>
      <c r="BK64" s="66" t="e">
        <f t="shared" si="16"/>
        <v>#DIV/0!</v>
      </c>
      <c r="BL64" s="66" t="e">
        <f t="shared" si="16"/>
        <v>#DIV/0!</v>
      </c>
      <c r="BM64" s="66" t="e">
        <f t="shared" si="16"/>
        <v>#DIV/0!</v>
      </c>
    </row>
    <row r="65" spans="2:65" x14ac:dyDescent="0.25">
      <c r="B65" s="5" t="s">
        <v>205</v>
      </c>
      <c r="C65" s="5" t="s">
        <v>186</v>
      </c>
      <c r="D65" s="5" t="s">
        <v>79</v>
      </c>
      <c r="E65" s="5" t="s">
        <v>205</v>
      </c>
      <c r="F65" s="138">
        <v>312.60000000000002</v>
      </c>
      <c r="H65" s="5" t="s">
        <v>205</v>
      </c>
      <c r="I65" s="66">
        <f t="shared" ref="I65" si="23">(F65*$I$12)+$F65</f>
        <v>355.57109635200004</v>
      </c>
      <c r="J65" s="66">
        <f t="shared" si="19"/>
        <v>359.21473694400004</v>
      </c>
      <c r="K65" s="66">
        <f t="shared" si="19"/>
        <v>360.69238464000006</v>
      </c>
      <c r="L65" s="66">
        <f t="shared" si="19"/>
        <v>361.63771204800003</v>
      </c>
      <c r="M65" s="66">
        <f t="shared" si="19"/>
        <v>352.35881875200005</v>
      </c>
      <c r="N65" s="66">
        <f t="shared" si="19"/>
        <v>347.09068348800002</v>
      </c>
      <c r="O65" s="66">
        <f t="shared" si="19"/>
        <v>354.74508211200003</v>
      </c>
      <c r="P65" s="66">
        <f t="shared" si="19"/>
        <v>350.72514614400001</v>
      </c>
      <c r="Q65" s="66">
        <f t="shared" si="19"/>
        <v>348.614220864</v>
      </c>
      <c r="R65" s="66">
        <f t="shared" si="19"/>
        <v>350.71596820800005</v>
      </c>
      <c r="S65" s="66">
        <f t="shared" si="19"/>
        <v>344.13538809600004</v>
      </c>
      <c r="T65" s="66">
        <f t="shared" si="19"/>
        <v>344.502505536</v>
      </c>
      <c r="U65" s="66">
        <f t="shared" si="19"/>
        <v>342.95143435200004</v>
      </c>
      <c r="V65" s="66">
        <f t="shared" si="19"/>
        <v>336.28825281600001</v>
      </c>
      <c r="W65" s="66">
        <f t="shared" si="19"/>
        <v>335.54484000000002</v>
      </c>
      <c r="X65" s="66">
        <f t="shared" si="19"/>
        <v>336.4626336</v>
      </c>
      <c r="Y65" s="66">
        <f t="shared" si="19"/>
        <v>340.8221532</v>
      </c>
      <c r="Z65" s="66">
        <f t="shared" si="21"/>
        <v>340.08791832000003</v>
      </c>
      <c r="AA65" s="66">
        <f t="shared" si="21"/>
        <v>347.04479380800001</v>
      </c>
      <c r="AB65" s="66">
        <f t="shared" si="21"/>
        <v>353.99249136000003</v>
      </c>
      <c r="AC65" s="66">
        <f t="shared" si="21"/>
        <v>355.80972268800002</v>
      </c>
      <c r="AD65" s="66">
        <f t="shared" si="21"/>
        <v>351.20239881600003</v>
      </c>
      <c r="AE65" s="66">
        <f t="shared" si="21"/>
        <v>354.05673691200002</v>
      </c>
      <c r="AF65" s="66">
        <f t="shared" si="21"/>
        <v>357.975715584</v>
      </c>
      <c r="AG65" s="66">
        <f t="shared" si="21"/>
        <v>354.96535257600004</v>
      </c>
      <c r="AH65" s="66">
        <f t="shared" si="21"/>
        <v>362.13332059200002</v>
      </c>
      <c r="AI65" s="66">
        <f t="shared" si="21"/>
        <v>365.26299676800005</v>
      </c>
      <c r="AJ65" s="66">
        <f t="shared" si="21"/>
        <v>372.43096478400003</v>
      </c>
      <c r="AK65" s="66">
        <f t="shared" si="21"/>
        <v>369.59498256000001</v>
      </c>
      <c r="AL65" s="66">
        <f t="shared" si="21"/>
        <v>363.90466224000005</v>
      </c>
      <c r="AM65" s="66">
        <f t="shared" si="21"/>
        <v>220.82064000000003</v>
      </c>
      <c r="AN65" s="66">
        <f t="shared" si="21"/>
        <v>220.82064000000003</v>
      </c>
      <c r="AO65" s="66">
        <f t="shared" si="21"/>
        <v>220.82064000000003</v>
      </c>
      <c r="AP65" s="66">
        <f t="shared" si="17"/>
        <v>220.82064000000003</v>
      </c>
      <c r="AQ65" s="66">
        <f t="shared" si="17"/>
        <v>220.82064000000003</v>
      </c>
      <c r="AR65" s="66">
        <f t="shared" si="17"/>
        <v>220.82064000000003</v>
      </c>
      <c r="AS65" s="66">
        <f t="shared" si="17"/>
        <v>220.82064000000003</v>
      </c>
      <c r="AT65" s="66">
        <f t="shared" si="17"/>
        <v>220.82064000000003</v>
      </c>
      <c r="AU65" s="66">
        <f t="shared" si="17"/>
        <v>220.82064000000003</v>
      </c>
      <c r="AV65" s="66">
        <f t="shared" si="17"/>
        <v>220.82064000000003</v>
      </c>
      <c r="AW65" s="66">
        <f t="shared" si="17"/>
        <v>220.82064000000003</v>
      </c>
      <c r="AX65" s="66">
        <f t="shared" si="17"/>
        <v>220.82064000000003</v>
      </c>
      <c r="AY65" s="66">
        <f t="shared" si="17"/>
        <v>220.82064000000003</v>
      </c>
      <c r="AZ65" s="66">
        <f t="shared" si="17"/>
        <v>220.82064000000003</v>
      </c>
      <c r="BA65" s="66">
        <f t="shared" si="17"/>
        <v>220.82064000000003</v>
      </c>
      <c r="BB65" s="66">
        <f t="shared" si="17"/>
        <v>220.82064000000003</v>
      </c>
      <c r="BC65" s="66">
        <f t="shared" si="17"/>
        <v>220.82064000000003</v>
      </c>
      <c r="BD65" s="66">
        <f t="shared" si="17"/>
        <v>220.82064000000003</v>
      </c>
      <c r="BE65" s="66">
        <f t="shared" si="17"/>
        <v>220.82064000000003</v>
      </c>
      <c r="BF65" s="66">
        <f t="shared" si="16"/>
        <v>220.82064000000003</v>
      </c>
      <c r="BG65" s="66">
        <f t="shared" si="16"/>
        <v>220.82064000000003</v>
      </c>
      <c r="BH65" s="66">
        <f t="shared" si="16"/>
        <v>220.82064000000003</v>
      </c>
      <c r="BI65" s="66">
        <f t="shared" si="16"/>
        <v>220.82064000000003</v>
      </c>
      <c r="BJ65" s="66" t="e">
        <f t="shared" si="16"/>
        <v>#DIV/0!</v>
      </c>
      <c r="BK65" s="66" t="e">
        <f t="shared" si="16"/>
        <v>#DIV/0!</v>
      </c>
      <c r="BL65" s="66" t="e">
        <f t="shared" si="16"/>
        <v>#DIV/0!</v>
      </c>
      <c r="BM65" s="66" t="e">
        <f t="shared" si="16"/>
        <v>#DIV/0!</v>
      </c>
    </row>
    <row r="66" spans="2:65" x14ac:dyDescent="0.25">
      <c r="B66" s="5"/>
      <c r="C66" s="5"/>
      <c r="D66" s="5" t="s">
        <v>79</v>
      </c>
      <c r="E66" s="5"/>
      <c r="F66" s="138"/>
    </row>
    <row r="67" spans="2:65" x14ac:dyDescent="0.25">
      <c r="B67" s="5"/>
      <c r="C67" s="5"/>
      <c r="D67" s="5" t="s">
        <v>79</v>
      </c>
      <c r="E67" s="5"/>
      <c r="F67" s="138"/>
    </row>
    <row r="68" spans="2:65" ht="15.75" thickBot="1" x14ac:dyDescent="0.3">
      <c r="B68" s="5"/>
      <c r="C68" s="5"/>
      <c r="D68" s="5" t="s">
        <v>79</v>
      </c>
      <c r="E68" s="5"/>
      <c r="F68" s="138"/>
    </row>
    <row r="69" spans="2:65" ht="15.75" thickBot="1" x14ac:dyDescent="0.3">
      <c r="B69" s="5"/>
      <c r="C69" s="5"/>
      <c r="D69" s="5" t="s">
        <v>79</v>
      </c>
      <c r="E69" s="5"/>
      <c r="F69" s="138"/>
      <c r="H69" s="88" t="s">
        <v>80</v>
      </c>
      <c r="I69" s="109">
        <v>1</v>
      </c>
      <c r="J69" s="73">
        <v>2</v>
      </c>
      <c r="K69" s="73">
        <v>3</v>
      </c>
      <c r="L69" s="73">
        <v>4</v>
      </c>
      <c r="M69" s="73">
        <v>5</v>
      </c>
      <c r="N69" s="73">
        <v>6</v>
      </c>
      <c r="O69" s="73">
        <v>7</v>
      </c>
      <c r="P69" s="73">
        <v>8</v>
      </c>
      <c r="Q69" s="73">
        <v>9</v>
      </c>
      <c r="R69" s="73">
        <v>10</v>
      </c>
      <c r="S69" s="73">
        <v>11</v>
      </c>
      <c r="T69" s="73">
        <v>12</v>
      </c>
      <c r="U69" s="73">
        <v>13</v>
      </c>
      <c r="V69" s="73">
        <v>14</v>
      </c>
      <c r="W69" s="73">
        <v>15</v>
      </c>
      <c r="X69" s="73">
        <v>16</v>
      </c>
      <c r="Y69" s="73">
        <v>17</v>
      </c>
      <c r="Z69" s="73">
        <v>18</v>
      </c>
      <c r="AA69" s="73">
        <v>19</v>
      </c>
      <c r="AB69" s="73">
        <v>20</v>
      </c>
      <c r="AC69" s="73">
        <v>21</v>
      </c>
      <c r="AD69" s="73">
        <v>22</v>
      </c>
      <c r="AE69" s="73">
        <v>23</v>
      </c>
      <c r="AF69" s="73">
        <v>24</v>
      </c>
      <c r="AG69" s="73">
        <v>25</v>
      </c>
      <c r="AH69" s="73">
        <v>26</v>
      </c>
      <c r="AI69" s="73">
        <v>27</v>
      </c>
      <c r="AJ69" s="73">
        <v>28</v>
      </c>
      <c r="AK69" s="73">
        <v>29</v>
      </c>
      <c r="AL69" s="73">
        <v>30</v>
      </c>
      <c r="AM69" s="73">
        <v>31</v>
      </c>
      <c r="AN69" s="73">
        <v>32</v>
      </c>
      <c r="AO69" s="73">
        <v>33</v>
      </c>
      <c r="AP69" s="73">
        <v>34</v>
      </c>
      <c r="AQ69" s="73">
        <v>35</v>
      </c>
      <c r="AR69" s="73">
        <v>36</v>
      </c>
      <c r="AS69" s="73">
        <v>37</v>
      </c>
      <c r="AT69" s="73">
        <v>38</v>
      </c>
      <c r="AU69" s="73">
        <v>39</v>
      </c>
      <c r="AV69" s="73">
        <v>40</v>
      </c>
      <c r="AW69" s="73">
        <v>41</v>
      </c>
      <c r="AX69" s="73">
        <v>42</v>
      </c>
      <c r="AY69" s="73">
        <v>43</v>
      </c>
      <c r="AZ69" s="73">
        <v>44</v>
      </c>
      <c r="BA69" s="73">
        <v>45</v>
      </c>
      <c r="BB69" s="73">
        <v>46</v>
      </c>
      <c r="BC69" s="73">
        <v>47</v>
      </c>
      <c r="BD69" s="73">
        <v>48</v>
      </c>
      <c r="BE69" s="73">
        <v>49</v>
      </c>
      <c r="BF69" s="73">
        <v>50</v>
      </c>
      <c r="BG69" s="73">
        <v>51</v>
      </c>
      <c r="BH69" s="73">
        <v>52</v>
      </c>
      <c r="BI69" s="74">
        <v>53</v>
      </c>
    </row>
    <row r="70" spans="2:65" x14ac:dyDescent="0.25">
      <c r="B70" s="5"/>
      <c r="C70" s="5"/>
      <c r="D70" s="5" t="s">
        <v>79</v>
      </c>
      <c r="E70" s="5"/>
      <c r="F70" s="138"/>
      <c r="H70" s="92" t="s">
        <v>78</v>
      </c>
      <c r="I70" s="110">
        <f t="shared" ref="I70:AC70" si="24">I54</f>
        <v>315.39588482559998</v>
      </c>
      <c r="J70" s="110">
        <f t="shared" si="24"/>
        <v>318.62783832319997</v>
      </c>
      <c r="K70" s="110">
        <f t="shared" si="24"/>
        <v>319.938529792</v>
      </c>
      <c r="L70" s="110">
        <f t="shared" si="24"/>
        <v>320.77704669439998</v>
      </c>
      <c r="M70" s="110">
        <f t="shared" si="24"/>
        <v>312.54655554559997</v>
      </c>
      <c r="N70" s="110">
        <f t="shared" si="24"/>
        <v>307.8736555264</v>
      </c>
      <c r="O70" s="110">
        <f t="shared" si="24"/>
        <v>314.66320015359997</v>
      </c>
      <c r="P70" s="110">
        <f t="shared" si="24"/>
        <v>311.09746808319994</v>
      </c>
      <c r="Q70" s="110">
        <f t="shared" si="24"/>
        <v>309.22505169919998</v>
      </c>
      <c r="R70" s="110">
        <f t="shared" si="24"/>
        <v>311.08932714239995</v>
      </c>
      <c r="S70" s="110">
        <f t="shared" si="24"/>
        <v>305.2522725888</v>
      </c>
      <c r="T70" s="110">
        <f t="shared" si="24"/>
        <v>305.57791022079994</v>
      </c>
      <c r="U70" s="110">
        <f t="shared" si="24"/>
        <v>304.20209122559999</v>
      </c>
      <c r="V70" s="110">
        <f t="shared" si="24"/>
        <v>298.29176820479995</v>
      </c>
      <c r="W70" s="110">
        <f t="shared" si="24"/>
        <v>297.63235199999997</v>
      </c>
      <c r="X70" s="110">
        <f t="shared" si="24"/>
        <v>298.44644607999999</v>
      </c>
      <c r="Y70" s="110">
        <f t="shared" si="24"/>
        <v>302.31339295999999</v>
      </c>
      <c r="Z70" s="110">
        <f t="shared" si="24"/>
        <v>301.66211769599994</v>
      </c>
      <c r="AA70" s="110">
        <f t="shared" si="24"/>
        <v>307.83295082239999</v>
      </c>
      <c r="AB70" s="110">
        <f t="shared" si="24"/>
        <v>313.99564300799994</v>
      </c>
      <c r="AC70" s="110">
        <f t="shared" si="24"/>
        <v>315.6075492864</v>
      </c>
      <c r="AD70" s="110">
        <f>AD54</f>
        <v>311.52079700479999</v>
      </c>
      <c r="AE70" s="110">
        <f>AE54</f>
        <v>314.05262959359993</v>
      </c>
      <c r="AF70" s="110">
        <f t="shared" ref="AF70:BI70" si="25">AF54</f>
        <v>317.52881131519996</v>
      </c>
      <c r="AG70" s="110">
        <f t="shared" si="25"/>
        <v>314.85858273279996</v>
      </c>
      <c r="AH70" s="110">
        <f t="shared" si="25"/>
        <v>321.21665749759995</v>
      </c>
      <c r="AI70" s="110">
        <f t="shared" si="25"/>
        <v>323.99271831039999</v>
      </c>
      <c r="AJ70" s="110">
        <f t="shared" si="25"/>
        <v>330.35079307519999</v>
      </c>
      <c r="AK70" s="110">
        <f t="shared" si="25"/>
        <v>327.83524236799997</v>
      </c>
      <c r="AL70" s="110">
        <f t="shared" si="25"/>
        <v>322.78785907199995</v>
      </c>
      <c r="AM70" s="110">
        <f t="shared" si="25"/>
        <v>195.87059199999999</v>
      </c>
      <c r="AN70" s="110">
        <f t="shared" si="25"/>
        <v>195.87059199999999</v>
      </c>
      <c r="AO70" s="110">
        <f t="shared" si="25"/>
        <v>195.87059199999999</v>
      </c>
      <c r="AP70" s="110">
        <f t="shared" si="25"/>
        <v>195.87059199999999</v>
      </c>
      <c r="AQ70" s="110">
        <f t="shared" si="25"/>
        <v>195.87059199999999</v>
      </c>
      <c r="AR70" s="110">
        <f t="shared" si="25"/>
        <v>195.87059199999999</v>
      </c>
      <c r="AS70" s="110">
        <f t="shared" si="25"/>
        <v>195.87059199999999</v>
      </c>
      <c r="AT70" s="110">
        <f t="shared" si="25"/>
        <v>195.87059199999999</v>
      </c>
      <c r="AU70" s="110">
        <f t="shared" si="25"/>
        <v>195.87059199999999</v>
      </c>
      <c r="AV70" s="110">
        <f t="shared" si="25"/>
        <v>195.87059199999999</v>
      </c>
      <c r="AW70" s="110">
        <f t="shared" si="25"/>
        <v>195.87059199999999</v>
      </c>
      <c r="AX70" s="110">
        <f t="shared" si="25"/>
        <v>195.87059199999999</v>
      </c>
      <c r="AY70" s="110">
        <f t="shared" si="25"/>
        <v>195.87059199999999</v>
      </c>
      <c r="AZ70" s="110">
        <f t="shared" si="25"/>
        <v>195.87059199999999</v>
      </c>
      <c r="BA70" s="110">
        <f t="shared" si="25"/>
        <v>195.87059199999999</v>
      </c>
      <c r="BB70" s="110">
        <f t="shared" si="25"/>
        <v>195.87059199999999</v>
      </c>
      <c r="BC70" s="110">
        <f t="shared" si="25"/>
        <v>195.87059199999999</v>
      </c>
      <c r="BD70" s="110">
        <f t="shared" si="25"/>
        <v>195.87059199999999</v>
      </c>
      <c r="BE70" s="110">
        <f t="shared" si="25"/>
        <v>195.87059199999999</v>
      </c>
      <c r="BF70" s="110">
        <f t="shared" si="25"/>
        <v>195.87059199999999</v>
      </c>
      <c r="BG70" s="110">
        <f t="shared" si="25"/>
        <v>195.87059199999999</v>
      </c>
      <c r="BH70" s="110">
        <f t="shared" si="25"/>
        <v>195.87059199999999</v>
      </c>
      <c r="BI70" s="110">
        <f t="shared" si="25"/>
        <v>195.87059199999999</v>
      </c>
    </row>
    <row r="71" spans="2:65" ht="15.75" thickBot="1" x14ac:dyDescent="0.3">
      <c r="B71" s="5"/>
      <c r="C71" s="5"/>
      <c r="D71" s="5" t="s">
        <v>79</v>
      </c>
      <c r="E71" s="5"/>
      <c r="F71" s="138"/>
      <c r="H71" s="84" t="s">
        <v>79</v>
      </c>
      <c r="I71" s="106" t="e">
        <f t="shared" ref="I71:AN71" si="26">I16</f>
        <v>#VALUE!</v>
      </c>
      <c r="J71" s="106" t="e">
        <f t="shared" si="26"/>
        <v>#VALUE!</v>
      </c>
      <c r="K71" s="106" t="e">
        <f t="shared" si="26"/>
        <v>#VALUE!</v>
      </c>
      <c r="L71" s="106" t="e">
        <f t="shared" si="26"/>
        <v>#VALUE!</v>
      </c>
      <c r="M71" s="106" t="e">
        <f t="shared" si="26"/>
        <v>#VALUE!</v>
      </c>
      <c r="N71" s="106" t="e">
        <f t="shared" si="26"/>
        <v>#VALUE!</v>
      </c>
      <c r="O71" s="106" t="e">
        <f t="shared" si="26"/>
        <v>#VALUE!</v>
      </c>
      <c r="P71" s="106" t="e">
        <f t="shared" si="26"/>
        <v>#VALUE!</v>
      </c>
      <c r="Q71" s="106" t="e">
        <f t="shared" si="26"/>
        <v>#VALUE!</v>
      </c>
      <c r="R71" s="106" t="e">
        <f t="shared" si="26"/>
        <v>#VALUE!</v>
      </c>
      <c r="S71" s="106" t="e">
        <f t="shared" si="26"/>
        <v>#VALUE!</v>
      </c>
      <c r="T71" s="106" t="e">
        <f t="shared" si="26"/>
        <v>#VALUE!</v>
      </c>
      <c r="U71" s="106" t="e">
        <f t="shared" si="26"/>
        <v>#VALUE!</v>
      </c>
      <c r="V71" s="106" t="e">
        <f t="shared" si="26"/>
        <v>#VALUE!</v>
      </c>
      <c r="W71" s="106" t="e">
        <f t="shared" si="26"/>
        <v>#VALUE!</v>
      </c>
      <c r="X71" s="106" t="e">
        <f t="shared" si="26"/>
        <v>#VALUE!</v>
      </c>
      <c r="Y71" s="106" t="e">
        <f t="shared" si="26"/>
        <v>#VALUE!</v>
      </c>
      <c r="Z71" s="106" t="e">
        <f t="shared" si="26"/>
        <v>#VALUE!</v>
      </c>
      <c r="AA71" s="106" t="e">
        <f t="shared" si="26"/>
        <v>#VALUE!</v>
      </c>
      <c r="AB71" s="106" t="e">
        <f t="shared" si="26"/>
        <v>#VALUE!</v>
      </c>
      <c r="AC71" s="106" t="e">
        <f t="shared" si="26"/>
        <v>#VALUE!</v>
      </c>
      <c r="AD71" s="106" t="e">
        <f t="shared" si="26"/>
        <v>#VALUE!</v>
      </c>
      <c r="AE71" s="106" t="e">
        <f t="shared" si="26"/>
        <v>#VALUE!</v>
      </c>
      <c r="AF71" s="106" t="e">
        <f t="shared" si="26"/>
        <v>#VALUE!</v>
      </c>
      <c r="AG71" s="106" t="e">
        <f t="shared" si="26"/>
        <v>#VALUE!</v>
      </c>
      <c r="AH71" s="106" t="e">
        <f t="shared" si="26"/>
        <v>#VALUE!</v>
      </c>
      <c r="AI71" s="106" t="e">
        <f t="shared" si="26"/>
        <v>#VALUE!</v>
      </c>
      <c r="AJ71" s="106" t="e">
        <f t="shared" si="26"/>
        <v>#VALUE!</v>
      </c>
      <c r="AK71" s="106" t="e">
        <f t="shared" si="26"/>
        <v>#VALUE!</v>
      </c>
      <c r="AL71" s="106" t="e">
        <f t="shared" si="26"/>
        <v>#VALUE!</v>
      </c>
      <c r="AM71" s="106" t="e">
        <f t="shared" si="26"/>
        <v>#VALUE!</v>
      </c>
      <c r="AN71" s="106" t="e">
        <f t="shared" si="26"/>
        <v>#VALUE!</v>
      </c>
      <c r="AO71" s="106" t="e">
        <f t="shared" ref="AO71:BI71" si="27">AO16</f>
        <v>#VALUE!</v>
      </c>
      <c r="AP71" s="106" t="e">
        <f t="shared" si="27"/>
        <v>#VALUE!</v>
      </c>
      <c r="AQ71" s="106" t="e">
        <f t="shared" si="27"/>
        <v>#VALUE!</v>
      </c>
      <c r="AR71" s="106" t="e">
        <f t="shared" si="27"/>
        <v>#VALUE!</v>
      </c>
      <c r="AS71" s="106" t="e">
        <f t="shared" si="27"/>
        <v>#VALUE!</v>
      </c>
      <c r="AT71" s="106" t="e">
        <f t="shared" si="27"/>
        <v>#VALUE!</v>
      </c>
      <c r="AU71" s="106" t="e">
        <f t="shared" si="27"/>
        <v>#VALUE!</v>
      </c>
      <c r="AV71" s="106" t="e">
        <f t="shared" si="27"/>
        <v>#VALUE!</v>
      </c>
      <c r="AW71" s="106" t="e">
        <f t="shared" si="27"/>
        <v>#VALUE!</v>
      </c>
      <c r="AX71" s="106" t="e">
        <f t="shared" si="27"/>
        <v>#VALUE!</v>
      </c>
      <c r="AY71" s="106" t="e">
        <f t="shared" si="27"/>
        <v>#VALUE!</v>
      </c>
      <c r="AZ71" s="106" t="e">
        <f t="shared" si="27"/>
        <v>#VALUE!</v>
      </c>
      <c r="BA71" s="106" t="e">
        <f t="shared" si="27"/>
        <v>#VALUE!</v>
      </c>
      <c r="BB71" s="106" t="e">
        <f t="shared" si="27"/>
        <v>#VALUE!</v>
      </c>
      <c r="BC71" s="106" t="e">
        <f t="shared" si="27"/>
        <v>#VALUE!</v>
      </c>
      <c r="BD71" s="106" t="e">
        <f t="shared" si="27"/>
        <v>#VALUE!</v>
      </c>
      <c r="BE71" s="106" t="e">
        <f t="shared" si="27"/>
        <v>#VALUE!</v>
      </c>
      <c r="BF71" s="106" t="e">
        <f t="shared" si="27"/>
        <v>#VALUE!</v>
      </c>
      <c r="BG71" s="106" t="e">
        <f t="shared" si="27"/>
        <v>#VALUE!</v>
      </c>
      <c r="BH71" s="106" t="e">
        <f t="shared" si="27"/>
        <v>#VALUE!</v>
      </c>
      <c r="BI71" s="106" t="e">
        <f t="shared" si="27"/>
        <v>#VALUE!</v>
      </c>
    </row>
    <row r="72" spans="2:65" x14ac:dyDescent="0.25">
      <c r="B72" s="5"/>
      <c r="C72" s="5"/>
      <c r="D72" s="5" t="s">
        <v>79</v>
      </c>
      <c r="E72" s="5"/>
      <c r="F72" s="138"/>
    </row>
    <row r="73" spans="2:65" x14ac:dyDescent="0.25">
      <c r="B73" s="5"/>
      <c r="C73" s="5"/>
      <c r="D73" s="5" t="s">
        <v>79</v>
      </c>
      <c r="E73" s="5"/>
      <c r="F73" s="138"/>
    </row>
    <row r="74" spans="2:65" x14ac:dyDescent="0.25">
      <c r="B74" s="5"/>
      <c r="C74" s="5"/>
      <c r="D74" s="5" t="s">
        <v>79</v>
      </c>
      <c r="E74" s="5"/>
      <c r="F74" s="138"/>
    </row>
    <row r="75" spans="2:65" x14ac:dyDescent="0.25">
      <c r="B75" s="5"/>
      <c r="C75" s="5"/>
      <c r="D75" s="5" t="s">
        <v>79</v>
      </c>
      <c r="E75" s="5"/>
      <c r="F75" s="138"/>
    </row>
    <row r="76" spans="2:65" x14ac:dyDescent="0.25">
      <c r="B76" s="5"/>
      <c r="C76" s="5"/>
      <c r="D76" s="5" t="s">
        <v>79</v>
      </c>
      <c r="E76" s="5"/>
      <c r="F76" s="138"/>
    </row>
    <row r="77" spans="2:65" x14ac:dyDescent="0.25">
      <c r="B77" s="5"/>
      <c r="C77" s="5"/>
      <c r="D77" s="5" t="s">
        <v>79</v>
      </c>
      <c r="E77" s="5"/>
      <c r="F77" s="138"/>
    </row>
    <row r="78" spans="2:65" x14ac:dyDescent="0.25">
      <c r="B78" s="5"/>
      <c r="C78" s="5"/>
      <c r="D78" s="5" t="s">
        <v>79</v>
      </c>
      <c r="E78" s="5"/>
      <c r="F78" s="138"/>
    </row>
    <row r="79" spans="2:65" x14ac:dyDescent="0.25">
      <c r="B79" s="5"/>
      <c r="C79" s="5"/>
      <c r="D79" s="5" t="s">
        <v>79</v>
      </c>
      <c r="E79" s="5"/>
      <c r="F79" s="138"/>
    </row>
    <row r="80" spans="2:65" x14ac:dyDescent="0.25">
      <c r="B80" s="5"/>
      <c r="C80" s="5"/>
      <c r="D80" s="5" t="s">
        <v>79</v>
      </c>
      <c r="E80" s="5"/>
      <c r="F80" s="138"/>
    </row>
    <row r="81" spans="2:6" x14ac:dyDescent="0.25">
      <c r="B81" s="5"/>
      <c r="C81" s="5"/>
      <c r="D81" s="5" t="s">
        <v>79</v>
      </c>
      <c r="E81" s="5"/>
      <c r="F81" s="138"/>
    </row>
    <row r="82" spans="2:6" x14ac:dyDescent="0.25">
      <c r="B82" s="5"/>
      <c r="C82" s="5"/>
      <c r="D82" s="5" t="s">
        <v>79</v>
      </c>
      <c r="E82" s="5"/>
      <c r="F82" s="138"/>
    </row>
    <row r="83" spans="2:6" x14ac:dyDescent="0.25">
      <c r="B83" s="5"/>
      <c r="C83" s="5"/>
      <c r="D83" s="5" t="s">
        <v>79</v>
      </c>
      <c r="E83" s="5"/>
      <c r="F83" s="138"/>
    </row>
    <row r="84" spans="2:6" x14ac:dyDescent="0.25">
      <c r="B84" s="5"/>
      <c r="C84" s="5"/>
      <c r="D84" s="5" t="s">
        <v>79</v>
      </c>
      <c r="E84" s="5"/>
      <c r="F84" s="138"/>
    </row>
    <row r="85" spans="2:6" x14ac:dyDescent="0.25">
      <c r="B85" s="5"/>
      <c r="C85" s="5"/>
      <c r="D85" s="5" t="s">
        <v>79</v>
      </c>
      <c r="E85" s="5"/>
      <c r="F85" s="138"/>
    </row>
    <row r="86" spans="2:6" x14ac:dyDescent="0.25">
      <c r="B86" s="5"/>
      <c r="C86" s="5"/>
      <c r="D86" s="5" t="s">
        <v>79</v>
      </c>
      <c r="E86" s="5"/>
      <c r="F86" s="138"/>
    </row>
    <row r="87" spans="2:6" x14ac:dyDescent="0.25">
      <c r="B87" s="5"/>
      <c r="C87" s="5"/>
      <c r="D87" s="5" t="s">
        <v>79</v>
      </c>
      <c r="E87" s="5"/>
      <c r="F87" s="138"/>
    </row>
    <row r="88" spans="2:6" x14ac:dyDescent="0.25">
      <c r="B88" s="5"/>
      <c r="C88" s="5"/>
      <c r="D88" s="5" t="s">
        <v>79</v>
      </c>
      <c r="E88" s="5"/>
      <c r="F88" s="138"/>
    </row>
    <row r="89" spans="2:6" x14ac:dyDescent="0.25">
      <c r="B89" s="5"/>
      <c r="C89" s="5"/>
      <c r="D89" s="5" t="s">
        <v>79</v>
      </c>
      <c r="E89" s="5"/>
      <c r="F89" s="138"/>
    </row>
    <row r="90" spans="2:6" x14ac:dyDescent="0.25">
      <c r="B90" s="5"/>
      <c r="C90" s="5"/>
      <c r="D90" s="5" t="s">
        <v>79</v>
      </c>
      <c r="E90" s="5"/>
      <c r="F90" s="138"/>
    </row>
    <row r="91" spans="2:6" x14ac:dyDescent="0.25">
      <c r="B91" s="5"/>
      <c r="C91" s="5"/>
      <c r="D91" s="5" t="s">
        <v>79</v>
      </c>
      <c r="E91" s="5"/>
      <c r="F91" s="138"/>
    </row>
    <row r="92" spans="2:6" x14ac:dyDescent="0.25">
      <c r="B92" s="5"/>
      <c r="C92" s="5"/>
      <c r="D92" s="5" t="s">
        <v>79</v>
      </c>
      <c r="E92" s="5"/>
      <c r="F92" s="138"/>
    </row>
    <row r="93" spans="2:6" x14ac:dyDescent="0.25">
      <c r="B93" s="5"/>
      <c r="C93" s="5"/>
      <c r="D93" s="5" t="s">
        <v>79</v>
      </c>
      <c r="E93" s="5"/>
      <c r="F93" s="138"/>
    </row>
    <row r="94" spans="2:6" x14ac:dyDescent="0.25">
      <c r="B94" s="5"/>
      <c r="C94" s="5"/>
      <c r="D94" s="5" t="s">
        <v>79</v>
      </c>
      <c r="E94" s="5"/>
      <c r="F94" s="138"/>
    </row>
    <row r="95" spans="2:6" x14ac:dyDescent="0.25">
      <c r="B95" s="5"/>
      <c r="C95" s="5"/>
      <c r="D95" s="5" t="s">
        <v>79</v>
      </c>
      <c r="E95" s="5"/>
      <c r="F95" s="138"/>
    </row>
    <row r="96" spans="2:6" x14ac:dyDescent="0.25">
      <c r="B96" s="5"/>
      <c r="C96" s="5"/>
      <c r="D96" s="5"/>
      <c r="E96" s="5"/>
      <c r="F96" s="138"/>
    </row>
    <row r="97" spans="2:6" x14ac:dyDescent="0.25">
      <c r="B97" s="5"/>
      <c r="C97" s="5"/>
      <c r="D97" s="5"/>
      <c r="E97" s="5"/>
      <c r="F97" s="138"/>
    </row>
    <row r="98" spans="2:6" x14ac:dyDescent="0.25">
      <c r="B98" s="5"/>
      <c r="C98" s="5"/>
      <c r="D98" s="5"/>
      <c r="E98" s="5"/>
      <c r="F98" s="138"/>
    </row>
    <row r="100" spans="2:6" ht="15.75" thickBot="1" x14ac:dyDescent="0.3">
      <c r="B100" s="111" t="s">
        <v>114</v>
      </c>
    </row>
    <row r="101" spans="2:6" x14ac:dyDescent="0.25">
      <c r="B101" s="112" t="s">
        <v>97</v>
      </c>
      <c r="C101" s="113" t="s">
        <v>96</v>
      </c>
      <c r="D101" s="113" t="s">
        <v>98</v>
      </c>
      <c r="E101" s="114"/>
      <c r="F101" s="139" t="s">
        <v>100</v>
      </c>
    </row>
    <row r="102" spans="2:6" x14ac:dyDescent="0.25">
      <c r="B102" s="115" t="s">
        <v>105</v>
      </c>
      <c r="C102" s="5" t="s">
        <v>106</v>
      </c>
      <c r="D102" s="5" t="s">
        <v>79</v>
      </c>
      <c r="E102" s="116" t="str">
        <f t="shared" ref="E102:E117" si="28">B102&amp;D102</f>
        <v>EmmettsSLH01</v>
      </c>
      <c r="F102" s="140">
        <v>595.51</v>
      </c>
    </row>
    <row r="103" spans="2:6" x14ac:dyDescent="0.25">
      <c r="B103" s="115" t="s">
        <v>108</v>
      </c>
      <c r="C103" s="5" t="s">
        <v>109</v>
      </c>
      <c r="D103" s="5" t="s">
        <v>78</v>
      </c>
      <c r="E103" s="116" t="str">
        <f t="shared" si="28"/>
        <v>EPC NewburyROB05</v>
      </c>
      <c r="F103" s="141">
        <v>180.23</v>
      </c>
    </row>
    <row r="104" spans="2:6" x14ac:dyDescent="0.25">
      <c r="B104" s="115" t="s">
        <v>108</v>
      </c>
      <c r="C104" s="5" t="s">
        <v>94</v>
      </c>
      <c r="D104" s="5" t="s">
        <v>79</v>
      </c>
      <c r="E104" s="116" t="str">
        <f t="shared" si="28"/>
        <v>EPC NewburySLH01</v>
      </c>
      <c r="F104" s="140">
        <v>316.52999999999997</v>
      </c>
    </row>
    <row r="105" spans="2:6" x14ac:dyDescent="0.25">
      <c r="B105" s="115" t="s">
        <v>111</v>
      </c>
      <c r="C105" s="5" t="s">
        <v>112</v>
      </c>
      <c r="D105" s="5" t="s">
        <v>79</v>
      </c>
      <c r="E105" s="116" t="str">
        <f t="shared" si="28"/>
        <v>EPC NewportSLH01</v>
      </c>
      <c r="F105" s="140">
        <v>264.52999999999997</v>
      </c>
    </row>
    <row r="106" spans="2:6" x14ac:dyDescent="0.25">
      <c r="B106" s="115" t="s">
        <v>116</v>
      </c>
      <c r="C106" s="5" t="s">
        <v>117</v>
      </c>
      <c r="D106" s="5" t="s">
        <v>79</v>
      </c>
      <c r="E106" s="116" t="str">
        <f t="shared" si="28"/>
        <v>G's BarwaySLH01</v>
      </c>
      <c r="F106" s="140">
        <v>255</v>
      </c>
    </row>
    <row r="107" spans="2:6" x14ac:dyDescent="0.25">
      <c r="B107" s="115" t="s">
        <v>119</v>
      </c>
      <c r="C107" s="5" t="s">
        <v>120</v>
      </c>
      <c r="D107" s="5" t="s">
        <v>79</v>
      </c>
      <c r="E107" s="116" t="str">
        <f t="shared" si="28"/>
        <v>G's East CoastSLH01</v>
      </c>
      <c r="F107" s="140">
        <v>300</v>
      </c>
    </row>
    <row r="108" spans="2:6" x14ac:dyDescent="0.25">
      <c r="B108" s="115" t="s">
        <v>122</v>
      </c>
      <c r="C108" s="5" t="s">
        <v>159</v>
      </c>
      <c r="D108" s="5" t="s">
        <v>79</v>
      </c>
      <c r="E108" s="116" t="str">
        <f t="shared" si="28"/>
        <v>G's WissySLH01</v>
      </c>
      <c r="F108" s="140">
        <v>270</v>
      </c>
    </row>
    <row r="109" spans="2:6" x14ac:dyDescent="0.25">
      <c r="B109" s="115" t="s">
        <v>124</v>
      </c>
      <c r="C109" s="5" t="s">
        <v>125</v>
      </c>
      <c r="D109" s="5" t="s">
        <v>78</v>
      </c>
      <c r="E109" s="116" t="str">
        <f t="shared" si="28"/>
        <v>Hobson FarmingROB05</v>
      </c>
      <c r="F109" s="140">
        <v>549.51</v>
      </c>
    </row>
    <row r="110" spans="2:6" x14ac:dyDescent="0.25">
      <c r="B110" s="115" t="s">
        <v>124</v>
      </c>
      <c r="C110" s="5" t="s">
        <v>125</v>
      </c>
      <c r="D110" s="5" t="s">
        <v>79</v>
      </c>
      <c r="E110" s="116" t="str">
        <f t="shared" si="28"/>
        <v>Hobson FarmingSLH01</v>
      </c>
      <c r="F110" s="140">
        <v>677.12</v>
      </c>
    </row>
    <row r="111" spans="2:6" x14ac:dyDescent="0.25">
      <c r="B111" s="115" t="s">
        <v>160</v>
      </c>
      <c r="C111" s="5" t="s">
        <v>125</v>
      </c>
      <c r="D111" s="5" t="s">
        <v>79</v>
      </c>
      <c r="E111" s="116" t="str">
        <f t="shared" si="28"/>
        <v>Hobson Farming CratesSLH01</v>
      </c>
      <c r="F111" s="140">
        <v>535</v>
      </c>
    </row>
    <row r="112" spans="2:6" x14ac:dyDescent="0.25">
      <c r="B112" s="115" t="s">
        <v>126</v>
      </c>
      <c r="C112" s="5" t="s">
        <v>127</v>
      </c>
      <c r="D112" s="5" t="s">
        <v>84</v>
      </c>
      <c r="E112" s="116" t="str">
        <f t="shared" si="28"/>
        <v>IntercropCOO10</v>
      </c>
      <c r="F112" s="140">
        <v>285</v>
      </c>
    </row>
    <row r="113" spans="2:14" x14ac:dyDescent="0.25">
      <c r="B113" s="115" t="s">
        <v>128</v>
      </c>
      <c r="C113" s="5" t="s">
        <v>127</v>
      </c>
      <c r="D113" s="5" t="s">
        <v>79</v>
      </c>
      <c r="E113" s="116" t="str">
        <f t="shared" si="28"/>
        <v>Intercrop RTSLH01</v>
      </c>
      <c r="F113" s="142">
        <v>373.17</v>
      </c>
    </row>
    <row r="114" spans="2:14" x14ac:dyDescent="0.25">
      <c r="B114" s="117" t="s">
        <v>129</v>
      </c>
      <c r="C114" s="5" t="s">
        <v>130</v>
      </c>
      <c r="D114" s="5" t="s">
        <v>79</v>
      </c>
      <c r="E114" s="116" t="str">
        <f t="shared" si="28"/>
        <v>J E WakelySLH01</v>
      </c>
      <c r="F114" s="140">
        <v>285.86</v>
      </c>
    </row>
    <row r="115" spans="2:14" x14ac:dyDescent="0.25">
      <c r="B115" s="118" t="s">
        <v>129</v>
      </c>
      <c r="C115" s="75" t="s">
        <v>130</v>
      </c>
      <c r="D115" s="75" t="s">
        <v>78</v>
      </c>
      <c r="E115" s="119" t="str">
        <f t="shared" si="28"/>
        <v>J E WakelyROB05</v>
      </c>
      <c r="F115" s="143">
        <v>466.4</v>
      </c>
    </row>
    <row r="116" spans="2:14" x14ac:dyDescent="0.25">
      <c r="B116" s="115" t="s">
        <v>131</v>
      </c>
      <c r="C116" s="5" t="s">
        <v>92</v>
      </c>
      <c r="D116" s="5" t="s">
        <v>79</v>
      </c>
      <c r="E116" s="116" t="str">
        <f t="shared" si="28"/>
        <v>JepcoSLH01</v>
      </c>
      <c r="F116" s="142">
        <v>512.47</v>
      </c>
    </row>
    <row r="117" spans="2:14" x14ac:dyDescent="0.25">
      <c r="B117" s="115" t="s">
        <v>133</v>
      </c>
      <c r="C117" s="5" t="s">
        <v>92</v>
      </c>
      <c r="D117" s="5" t="s">
        <v>93</v>
      </c>
      <c r="E117" s="116" t="str">
        <f t="shared" si="28"/>
        <v>Jepco RTPIC03</v>
      </c>
      <c r="F117" s="142">
        <v>397.5</v>
      </c>
    </row>
    <row r="118" spans="2:14" x14ac:dyDescent="0.25">
      <c r="B118" s="115" t="s">
        <v>134</v>
      </c>
      <c r="C118" s="5"/>
      <c r="D118" s="5"/>
      <c r="E118" s="116"/>
      <c r="F118" s="140"/>
    </row>
    <row r="119" spans="2:14" x14ac:dyDescent="0.25">
      <c r="B119" s="115" t="s">
        <v>135</v>
      </c>
      <c r="C119" s="5" t="s">
        <v>143</v>
      </c>
      <c r="D119" s="5" t="s">
        <v>83</v>
      </c>
      <c r="E119" s="116" t="str">
        <f>B119&amp;D119</f>
        <v>Kemp HerbsCOL06</v>
      </c>
      <c r="F119" s="140">
        <v>170</v>
      </c>
    </row>
    <row r="120" spans="2:14" x14ac:dyDescent="0.25">
      <c r="B120" s="115" t="s">
        <v>139</v>
      </c>
      <c r="C120" s="5" t="s">
        <v>138</v>
      </c>
      <c r="D120" s="5" t="s">
        <v>79</v>
      </c>
      <c r="E120" s="116" t="str">
        <f>B120&amp;D120</f>
        <v>L J Betts RTSLH01</v>
      </c>
      <c r="F120" s="142">
        <v>304.75</v>
      </c>
    </row>
    <row r="121" spans="2:14" x14ac:dyDescent="0.25">
      <c r="B121" s="115" t="s">
        <v>142</v>
      </c>
      <c r="C121" s="5" t="s">
        <v>143</v>
      </c>
      <c r="D121" s="5" t="s">
        <v>89</v>
      </c>
      <c r="E121" s="116" t="str">
        <f>B121&amp;D121</f>
        <v>NaylorsMAS01</v>
      </c>
      <c r="F121" s="140">
        <v>320</v>
      </c>
    </row>
    <row r="122" spans="2:14" x14ac:dyDescent="0.25">
      <c r="B122" s="118" t="s">
        <v>142</v>
      </c>
      <c r="C122" s="5" t="s">
        <v>143</v>
      </c>
      <c r="D122" s="5" t="s">
        <v>79</v>
      </c>
      <c r="E122" s="116" t="str">
        <f>B122&amp;D122</f>
        <v>NaylorsSLH01</v>
      </c>
      <c r="F122" s="140">
        <v>523.42999999999995</v>
      </c>
    </row>
    <row r="123" spans="2:14" x14ac:dyDescent="0.25">
      <c r="B123" s="115" t="s">
        <v>142</v>
      </c>
      <c r="C123" s="5" t="s">
        <v>143</v>
      </c>
      <c r="D123" s="5" t="s">
        <v>94</v>
      </c>
      <c r="E123" s="116" t="s">
        <v>161</v>
      </c>
      <c r="F123" s="140">
        <v>427.5</v>
      </c>
    </row>
    <row r="124" spans="2:14" x14ac:dyDescent="0.25">
      <c r="B124" s="115" t="s">
        <v>162</v>
      </c>
      <c r="C124" s="5" t="s">
        <v>89</v>
      </c>
      <c r="D124" s="5" t="s">
        <v>89</v>
      </c>
      <c r="E124" s="116" t="str">
        <f>B124&amp;D124</f>
        <v>New Shoots Crates OnlyMAS01</v>
      </c>
      <c r="F124" s="140">
        <v>450</v>
      </c>
    </row>
    <row r="125" spans="2:14" x14ac:dyDescent="0.25">
      <c r="B125" s="115" t="s">
        <v>162</v>
      </c>
      <c r="C125" s="5" t="s">
        <v>145</v>
      </c>
      <c r="D125" s="5" t="s">
        <v>79</v>
      </c>
      <c r="E125" s="116" t="str">
        <f>B125&amp;D125</f>
        <v>New Shoots Crates OnlySLH01</v>
      </c>
      <c r="F125" s="142">
        <v>535</v>
      </c>
    </row>
    <row r="126" spans="2:14" x14ac:dyDescent="0.25">
      <c r="B126" s="115" t="s">
        <v>146</v>
      </c>
      <c r="C126" s="5" t="s">
        <v>145</v>
      </c>
      <c r="D126" s="5" t="s">
        <v>79</v>
      </c>
      <c r="E126" s="116" t="str">
        <f>B126&amp;D126</f>
        <v>New Shoots RTSLH01</v>
      </c>
      <c r="F126" s="142">
        <v>388.02</v>
      </c>
    </row>
    <row r="127" spans="2:14" x14ac:dyDescent="0.25">
      <c r="B127" s="115" t="s">
        <v>146</v>
      </c>
      <c r="C127" s="5" t="s">
        <v>145</v>
      </c>
      <c r="D127" s="5" t="s">
        <v>78</v>
      </c>
      <c r="E127" s="116" t="str">
        <f>B127&amp;D127</f>
        <v>New Shoots RTROB05</v>
      </c>
      <c r="F127" s="140">
        <v>360</v>
      </c>
    </row>
    <row r="128" spans="2:14" x14ac:dyDescent="0.25">
      <c r="B128" s="115" t="s">
        <v>148</v>
      </c>
      <c r="C128" s="5" t="s">
        <v>149</v>
      </c>
      <c r="D128" s="5" t="s">
        <v>79</v>
      </c>
      <c r="E128" s="116" t="s">
        <v>163</v>
      </c>
      <c r="F128" s="140">
        <v>193.65</v>
      </c>
      <c r="N128">
        <f>N126-N127</f>
        <v>0</v>
      </c>
    </row>
    <row r="129" spans="2:6" x14ac:dyDescent="0.25">
      <c r="B129" s="117" t="s">
        <v>148</v>
      </c>
      <c r="C129" s="5" t="s">
        <v>149</v>
      </c>
      <c r="D129" s="5" t="s">
        <v>78</v>
      </c>
      <c r="E129" s="116" t="str">
        <f>B129&amp;D129</f>
        <v>Raker FarmsROB05</v>
      </c>
      <c r="F129" s="140">
        <v>451.33</v>
      </c>
    </row>
    <row r="130" spans="2:6" x14ac:dyDescent="0.25">
      <c r="B130" s="117" t="s">
        <v>157</v>
      </c>
      <c r="C130" s="5" t="s">
        <v>156</v>
      </c>
      <c r="D130" s="5" t="s">
        <v>79</v>
      </c>
      <c r="E130" s="116" t="str">
        <f>B130&amp;D130</f>
        <v>Valefresco RTSLH01</v>
      </c>
      <c r="F130" s="142">
        <v>391.81</v>
      </c>
    </row>
    <row r="131" spans="2:6" x14ac:dyDescent="0.25">
      <c r="B131" s="120" t="s">
        <v>152</v>
      </c>
      <c r="C131" s="69" t="s">
        <v>151</v>
      </c>
      <c r="D131" s="69" t="s">
        <v>79</v>
      </c>
      <c r="E131" s="121" t="str">
        <f>B131&amp;D131</f>
        <v>R Bratley RTSLH01</v>
      </c>
      <c r="F131" s="144">
        <v>391.65</v>
      </c>
    </row>
    <row r="132" spans="2:6" ht="15.75" thickBot="1" x14ac:dyDescent="0.3">
      <c r="B132" s="122"/>
      <c r="C132" s="123"/>
      <c r="D132" s="123"/>
      <c r="E132" s="124"/>
      <c r="F132" s="145"/>
    </row>
    <row r="135" spans="2:6" ht="21" x14ac:dyDescent="0.35">
      <c r="B135" s="125">
        <v>45381</v>
      </c>
      <c r="C135" s="126">
        <v>1</v>
      </c>
      <c r="E135" s="127" t="s">
        <v>97</v>
      </c>
    </row>
    <row r="136" spans="2:6" x14ac:dyDescent="0.25">
      <c r="B136" s="125">
        <f>B135+1</f>
        <v>45382</v>
      </c>
      <c r="C136" s="126">
        <v>1</v>
      </c>
      <c r="E136" s="5" t="s">
        <v>101</v>
      </c>
    </row>
    <row r="137" spans="2:6" x14ac:dyDescent="0.25">
      <c r="B137" s="125">
        <f t="shared" ref="B137:B200" si="29">B136+1</f>
        <v>45383</v>
      </c>
      <c r="C137" s="126">
        <v>1</v>
      </c>
      <c r="E137" s="128" t="s">
        <v>103</v>
      </c>
    </row>
    <row r="138" spans="2:6" x14ac:dyDescent="0.25">
      <c r="B138" s="125">
        <f t="shared" si="29"/>
        <v>45384</v>
      </c>
      <c r="C138" s="126">
        <v>1</v>
      </c>
      <c r="E138" s="128" t="s">
        <v>164</v>
      </c>
    </row>
    <row r="139" spans="2:6" x14ac:dyDescent="0.25">
      <c r="B139" s="125">
        <f t="shared" si="29"/>
        <v>45385</v>
      </c>
      <c r="C139" s="126">
        <v>1</v>
      </c>
      <c r="E139" s="128" t="s">
        <v>105</v>
      </c>
    </row>
    <row r="140" spans="2:6" ht="15.75" x14ac:dyDescent="0.25">
      <c r="B140" s="125">
        <f t="shared" si="29"/>
        <v>45386</v>
      </c>
      <c r="C140" s="126">
        <v>1</v>
      </c>
      <c r="E140" s="129" t="s">
        <v>165</v>
      </c>
    </row>
    <row r="141" spans="2:6" x14ac:dyDescent="0.25">
      <c r="B141" s="125">
        <f t="shared" si="29"/>
        <v>45387</v>
      </c>
      <c r="C141" s="126">
        <v>1</v>
      </c>
      <c r="E141" s="128" t="s">
        <v>108</v>
      </c>
    </row>
    <row r="142" spans="2:6" x14ac:dyDescent="0.25">
      <c r="B142" s="125">
        <f t="shared" si="29"/>
        <v>45388</v>
      </c>
      <c r="C142">
        <f t="shared" ref="C142:C187" si="30">C135+1</f>
        <v>2</v>
      </c>
      <c r="E142" s="5" t="s">
        <v>166</v>
      </c>
    </row>
    <row r="143" spans="2:6" x14ac:dyDescent="0.25">
      <c r="B143" s="125">
        <f t="shared" si="29"/>
        <v>45389</v>
      </c>
      <c r="C143">
        <f t="shared" si="30"/>
        <v>2</v>
      </c>
      <c r="E143" s="128" t="s">
        <v>111</v>
      </c>
    </row>
    <row r="144" spans="2:6" x14ac:dyDescent="0.25">
      <c r="B144" s="125">
        <f t="shared" si="29"/>
        <v>45390</v>
      </c>
      <c r="C144">
        <f t="shared" si="30"/>
        <v>2</v>
      </c>
      <c r="E144" s="128" t="s">
        <v>167</v>
      </c>
    </row>
    <row r="145" spans="2:5" x14ac:dyDescent="0.25">
      <c r="B145" s="125">
        <f t="shared" si="29"/>
        <v>45391</v>
      </c>
      <c r="C145">
        <f t="shared" si="30"/>
        <v>2</v>
      </c>
      <c r="E145" s="128" t="s">
        <v>113</v>
      </c>
    </row>
    <row r="146" spans="2:5" x14ac:dyDescent="0.25">
      <c r="B146" s="125">
        <f t="shared" si="29"/>
        <v>45392</v>
      </c>
      <c r="C146">
        <f t="shared" si="30"/>
        <v>2</v>
      </c>
      <c r="E146" s="128" t="s">
        <v>115</v>
      </c>
    </row>
    <row r="147" spans="2:5" x14ac:dyDescent="0.25">
      <c r="B147" s="125">
        <f t="shared" si="29"/>
        <v>45393</v>
      </c>
      <c r="C147">
        <f t="shared" si="30"/>
        <v>2</v>
      </c>
      <c r="E147" s="128" t="s">
        <v>116</v>
      </c>
    </row>
    <row r="148" spans="2:5" x14ac:dyDescent="0.25">
      <c r="B148" s="125">
        <f t="shared" si="29"/>
        <v>45394</v>
      </c>
      <c r="C148">
        <f t="shared" si="30"/>
        <v>2</v>
      </c>
      <c r="E148" s="128" t="s">
        <v>119</v>
      </c>
    </row>
    <row r="149" spans="2:5" x14ac:dyDescent="0.25">
      <c r="B149" s="125">
        <f t="shared" si="29"/>
        <v>45395</v>
      </c>
      <c r="C149">
        <f t="shared" si="30"/>
        <v>3</v>
      </c>
      <c r="E149" s="128" t="s">
        <v>168</v>
      </c>
    </row>
    <row r="150" spans="2:5" x14ac:dyDescent="0.25">
      <c r="B150" s="125">
        <f t="shared" si="29"/>
        <v>45396</v>
      </c>
      <c r="C150">
        <f t="shared" si="30"/>
        <v>3</v>
      </c>
      <c r="E150" s="128" t="s">
        <v>121</v>
      </c>
    </row>
    <row r="151" spans="2:5" x14ac:dyDescent="0.25">
      <c r="B151" s="125">
        <f t="shared" si="29"/>
        <v>45397</v>
      </c>
      <c r="C151">
        <f t="shared" si="30"/>
        <v>3</v>
      </c>
      <c r="E151" s="128" t="s">
        <v>122</v>
      </c>
    </row>
    <row r="152" spans="2:5" x14ac:dyDescent="0.25">
      <c r="B152" s="125">
        <f t="shared" si="29"/>
        <v>45398</v>
      </c>
      <c r="C152">
        <f t="shared" si="30"/>
        <v>3</v>
      </c>
      <c r="E152" s="128" t="s">
        <v>123</v>
      </c>
    </row>
    <row r="153" spans="2:5" x14ac:dyDescent="0.25">
      <c r="B153" s="125">
        <f t="shared" si="29"/>
        <v>45399</v>
      </c>
      <c r="C153">
        <f t="shared" si="30"/>
        <v>3</v>
      </c>
      <c r="E153" s="128" t="s">
        <v>124</v>
      </c>
    </row>
    <row r="154" spans="2:5" x14ac:dyDescent="0.25">
      <c r="B154" s="125">
        <f t="shared" si="29"/>
        <v>45400</v>
      </c>
      <c r="C154">
        <f t="shared" si="30"/>
        <v>3</v>
      </c>
      <c r="E154" s="128" t="s">
        <v>160</v>
      </c>
    </row>
    <row r="155" spans="2:5" x14ac:dyDescent="0.25">
      <c r="B155" s="125">
        <f t="shared" si="29"/>
        <v>45401</v>
      </c>
      <c r="C155">
        <f t="shared" si="30"/>
        <v>3</v>
      </c>
      <c r="E155" s="128" t="s">
        <v>126</v>
      </c>
    </row>
    <row r="156" spans="2:5" x14ac:dyDescent="0.25">
      <c r="B156" s="125">
        <f t="shared" si="29"/>
        <v>45402</v>
      </c>
      <c r="C156">
        <f t="shared" si="30"/>
        <v>4</v>
      </c>
      <c r="E156" s="128" t="s">
        <v>128</v>
      </c>
    </row>
    <row r="157" spans="2:5" x14ac:dyDescent="0.25">
      <c r="B157" s="125">
        <f t="shared" si="29"/>
        <v>45403</v>
      </c>
      <c r="C157">
        <f t="shared" si="30"/>
        <v>4</v>
      </c>
      <c r="E157" s="128" t="s">
        <v>129</v>
      </c>
    </row>
    <row r="158" spans="2:5" x14ac:dyDescent="0.25">
      <c r="B158" s="125">
        <f t="shared" si="29"/>
        <v>45404</v>
      </c>
      <c r="C158">
        <f t="shared" si="30"/>
        <v>4</v>
      </c>
      <c r="E158" s="128" t="s">
        <v>169</v>
      </c>
    </row>
    <row r="159" spans="2:5" x14ac:dyDescent="0.25">
      <c r="B159" s="125">
        <f t="shared" si="29"/>
        <v>45405</v>
      </c>
      <c r="C159">
        <f t="shared" si="30"/>
        <v>4</v>
      </c>
      <c r="E159" s="128" t="s">
        <v>170</v>
      </c>
    </row>
    <row r="160" spans="2:5" x14ac:dyDescent="0.25">
      <c r="B160" s="125">
        <f t="shared" si="29"/>
        <v>45406</v>
      </c>
      <c r="C160">
        <f t="shared" si="30"/>
        <v>4</v>
      </c>
      <c r="E160" s="128" t="s">
        <v>131</v>
      </c>
    </row>
    <row r="161" spans="2:5" x14ac:dyDescent="0.25">
      <c r="B161" s="125">
        <f t="shared" si="29"/>
        <v>45407</v>
      </c>
      <c r="C161">
        <f t="shared" si="30"/>
        <v>4</v>
      </c>
      <c r="E161" s="128" t="s">
        <v>171</v>
      </c>
    </row>
    <row r="162" spans="2:5" x14ac:dyDescent="0.25">
      <c r="B162" s="125">
        <f t="shared" si="29"/>
        <v>45408</v>
      </c>
      <c r="C162">
        <f t="shared" si="30"/>
        <v>4</v>
      </c>
      <c r="E162" s="128" t="s">
        <v>132</v>
      </c>
    </row>
    <row r="163" spans="2:5" x14ac:dyDescent="0.25">
      <c r="B163" s="125">
        <f t="shared" si="29"/>
        <v>45409</v>
      </c>
      <c r="C163">
        <f t="shared" si="30"/>
        <v>5</v>
      </c>
      <c r="E163" s="128" t="s">
        <v>134</v>
      </c>
    </row>
    <row r="164" spans="2:5" x14ac:dyDescent="0.25">
      <c r="B164" s="125">
        <f t="shared" si="29"/>
        <v>45410</v>
      </c>
      <c r="C164">
        <f t="shared" si="30"/>
        <v>5</v>
      </c>
      <c r="E164" s="128" t="s">
        <v>135</v>
      </c>
    </row>
    <row r="165" spans="2:5" x14ac:dyDescent="0.25">
      <c r="B165" s="125">
        <f t="shared" si="29"/>
        <v>45411</v>
      </c>
      <c r="C165">
        <f t="shared" si="30"/>
        <v>5</v>
      </c>
      <c r="E165" s="128" t="s">
        <v>136</v>
      </c>
    </row>
    <row r="166" spans="2:5" x14ac:dyDescent="0.25">
      <c r="B166" s="125">
        <f t="shared" si="29"/>
        <v>45412</v>
      </c>
      <c r="C166">
        <f t="shared" si="30"/>
        <v>5</v>
      </c>
      <c r="E166" s="128" t="s">
        <v>137</v>
      </c>
    </row>
    <row r="167" spans="2:5" x14ac:dyDescent="0.25">
      <c r="B167" s="125">
        <f t="shared" si="29"/>
        <v>45413</v>
      </c>
      <c r="C167">
        <f t="shared" si="30"/>
        <v>5</v>
      </c>
      <c r="E167" s="128" t="s">
        <v>139</v>
      </c>
    </row>
    <row r="168" spans="2:5" x14ac:dyDescent="0.25">
      <c r="B168" s="125">
        <f t="shared" si="29"/>
        <v>45414</v>
      </c>
      <c r="C168">
        <f t="shared" si="30"/>
        <v>5</v>
      </c>
      <c r="E168" s="128" t="s">
        <v>140</v>
      </c>
    </row>
    <row r="169" spans="2:5" x14ac:dyDescent="0.25">
      <c r="B169" s="125">
        <f t="shared" si="29"/>
        <v>45415</v>
      </c>
      <c r="C169">
        <f t="shared" si="30"/>
        <v>5</v>
      </c>
      <c r="E169" s="128" t="s">
        <v>172</v>
      </c>
    </row>
    <row r="170" spans="2:5" x14ac:dyDescent="0.25">
      <c r="B170" s="125">
        <f t="shared" si="29"/>
        <v>45416</v>
      </c>
      <c r="C170">
        <f t="shared" si="30"/>
        <v>6</v>
      </c>
      <c r="E170" s="128" t="s">
        <v>173</v>
      </c>
    </row>
    <row r="171" spans="2:5" x14ac:dyDescent="0.25">
      <c r="B171" s="125">
        <f t="shared" si="29"/>
        <v>45417</v>
      </c>
      <c r="C171">
        <f>C164+1</f>
        <v>6</v>
      </c>
      <c r="E171" s="128" t="s">
        <v>141</v>
      </c>
    </row>
    <row r="172" spans="2:5" x14ac:dyDescent="0.25">
      <c r="B172" s="125">
        <f t="shared" si="29"/>
        <v>45418</v>
      </c>
      <c r="C172">
        <f t="shared" si="30"/>
        <v>6</v>
      </c>
      <c r="E172" s="128" t="s">
        <v>142</v>
      </c>
    </row>
    <row r="173" spans="2:5" x14ac:dyDescent="0.25">
      <c r="B173" s="125">
        <f t="shared" si="29"/>
        <v>45419</v>
      </c>
      <c r="C173">
        <f t="shared" si="30"/>
        <v>6</v>
      </c>
      <c r="E173" s="128" t="s">
        <v>144</v>
      </c>
    </row>
    <row r="174" spans="2:5" x14ac:dyDescent="0.25">
      <c r="B174" s="125">
        <f t="shared" si="29"/>
        <v>45420</v>
      </c>
      <c r="C174">
        <f t="shared" si="30"/>
        <v>6</v>
      </c>
      <c r="E174" s="128" t="s">
        <v>162</v>
      </c>
    </row>
    <row r="175" spans="2:5" x14ac:dyDescent="0.25">
      <c r="B175" s="125">
        <f t="shared" si="29"/>
        <v>45421</v>
      </c>
      <c r="C175">
        <f t="shared" si="30"/>
        <v>6</v>
      </c>
      <c r="E175" s="128" t="s">
        <v>146</v>
      </c>
    </row>
    <row r="176" spans="2:5" x14ac:dyDescent="0.25">
      <c r="B176" s="125">
        <f t="shared" si="29"/>
        <v>45422</v>
      </c>
      <c r="C176">
        <f t="shared" si="30"/>
        <v>6</v>
      </c>
      <c r="E176" s="128" t="s">
        <v>147</v>
      </c>
    </row>
    <row r="177" spans="2:5" x14ac:dyDescent="0.25">
      <c r="B177" s="125">
        <f t="shared" si="29"/>
        <v>45423</v>
      </c>
      <c r="C177">
        <f t="shared" si="30"/>
        <v>7</v>
      </c>
      <c r="E177" s="128" t="s">
        <v>148</v>
      </c>
    </row>
    <row r="178" spans="2:5" x14ac:dyDescent="0.25">
      <c r="B178" s="125">
        <f t="shared" si="29"/>
        <v>45424</v>
      </c>
      <c r="C178">
        <f t="shared" si="30"/>
        <v>7</v>
      </c>
      <c r="E178" s="130" t="s">
        <v>150</v>
      </c>
    </row>
    <row r="179" spans="2:5" x14ac:dyDescent="0.25">
      <c r="B179" s="125">
        <f t="shared" si="29"/>
        <v>45425</v>
      </c>
      <c r="C179">
        <f t="shared" si="30"/>
        <v>7</v>
      </c>
      <c r="E179" s="5" t="s">
        <v>174</v>
      </c>
    </row>
    <row r="180" spans="2:5" x14ac:dyDescent="0.25">
      <c r="B180" s="125">
        <f t="shared" si="29"/>
        <v>45426</v>
      </c>
      <c r="C180">
        <f t="shared" si="30"/>
        <v>7</v>
      </c>
      <c r="E180" s="5" t="s">
        <v>153</v>
      </c>
    </row>
    <row r="181" spans="2:5" x14ac:dyDescent="0.25">
      <c r="B181" s="125">
        <f t="shared" si="29"/>
        <v>45427</v>
      </c>
      <c r="C181">
        <f>C174+1</f>
        <v>7</v>
      </c>
      <c r="E181" s="128" t="s">
        <v>175</v>
      </c>
    </row>
    <row r="182" spans="2:5" x14ac:dyDescent="0.25">
      <c r="B182" s="125">
        <f t="shared" si="29"/>
        <v>45428</v>
      </c>
      <c r="C182">
        <f>C175+1</f>
        <v>7</v>
      </c>
      <c r="E182" s="131" t="s">
        <v>154</v>
      </c>
    </row>
    <row r="183" spans="2:5" x14ac:dyDescent="0.25">
      <c r="B183" s="125">
        <f t="shared" si="29"/>
        <v>45429</v>
      </c>
      <c r="C183">
        <f>C176+1</f>
        <v>7</v>
      </c>
      <c r="E183" s="128" t="s">
        <v>155</v>
      </c>
    </row>
    <row r="184" spans="2:5" x14ac:dyDescent="0.25">
      <c r="B184" s="125">
        <f t="shared" si="29"/>
        <v>45430</v>
      </c>
      <c r="C184">
        <f>C177+1</f>
        <v>8</v>
      </c>
      <c r="E184" s="128" t="s">
        <v>157</v>
      </c>
    </row>
    <row r="185" spans="2:5" x14ac:dyDescent="0.25">
      <c r="B185" s="125">
        <f t="shared" si="29"/>
        <v>45431</v>
      </c>
      <c r="C185">
        <f t="shared" si="30"/>
        <v>8</v>
      </c>
      <c r="E185" s="131" t="s">
        <v>158</v>
      </c>
    </row>
    <row r="186" spans="2:5" x14ac:dyDescent="0.25">
      <c r="B186" s="125">
        <f t="shared" si="29"/>
        <v>45432</v>
      </c>
      <c r="C186">
        <f t="shared" si="30"/>
        <v>8</v>
      </c>
      <c r="E186" s="131"/>
    </row>
    <row r="187" spans="2:5" x14ac:dyDescent="0.25">
      <c r="B187" s="125">
        <f t="shared" si="29"/>
        <v>45433</v>
      </c>
      <c r="C187">
        <f t="shared" si="30"/>
        <v>8</v>
      </c>
    </row>
    <row r="188" spans="2:5" x14ac:dyDescent="0.25">
      <c r="B188" s="125">
        <f t="shared" si="29"/>
        <v>45434</v>
      </c>
      <c r="C188">
        <f>C181+1</f>
        <v>8</v>
      </c>
    </row>
    <row r="189" spans="2:5" x14ac:dyDescent="0.25">
      <c r="B189" s="125">
        <f t="shared" si="29"/>
        <v>45435</v>
      </c>
      <c r="C189">
        <v>8</v>
      </c>
    </row>
    <row r="190" spans="2:5" x14ac:dyDescent="0.25">
      <c r="B190" s="125">
        <f t="shared" si="29"/>
        <v>45436</v>
      </c>
      <c r="C190">
        <v>8</v>
      </c>
    </row>
    <row r="191" spans="2:5" x14ac:dyDescent="0.25">
      <c r="B191" s="125">
        <f t="shared" si="29"/>
        <v>45437</v>
      </c>
      <c r="C191">
        <v>9</v>
      </c>
    </row>
    <row r="192" spans="2:5" x14ac:dyDescent="0.25">
      <c r="B192" s="125">
        <f t="shared" si="29"/>
        <v>45438</v>
      </c>
      <c r="C192">
        <v>9</v>
      </c>
    </row>
    <row r="193" spans="2:3" x14ac:dyDescent="0.25">
      <c r="B193" s="125">
        <f t="shared" si="29"/>
        <v>45439</v>
      </c>
      <c r="C193">
        <v>9</v>
      </c>
    </row>
    <row r="194" spans="2:3" x14ac:dyDescent="0.25">
      <c r="B194" s="125">
        <f t="shared" si="29"/>
        <v>45440</v>
      </c>
      <c r="C194">
        <v>9</v>
      </c>
    </row>
    <row r="195" spans="2:3" x14ac:dyDescent="0.25">
      <c r="B195" s="125">
        <f t="shared" si="29"/>
        <v>45441</v>
      </c>
      <c r="C195">
        <v>9</v>
      </c>
    </row>
    <row r="196" spans="2:3" x14ac:dyDescent="0.25">
      <c r="B196" s="125">
        <f t="shared" si="29"/>
        <v>45442</v>
      </c>
      <c r="C196">
        <v>9</v>
      </c>
    </row>
    <row r="197" spans="2:3" x14ac:dyDescent="0.25">
      <c r="B197" s="125">
        <f t="shared" si="29"/>
        <v>45443</v>
      </c>
      <c r="C197">
        <v>9</v>
      </c>
    </row>
    <row r="198" spans="2:3" x14ac:dyDescent="0.25">
      <c r="B198" s="125">
        <f t="shared" si="29"/>
        <v>45444</v>
      </c>
      <c r="C198">
        <v>10</v>
      </c>
    </row>
    <row r="199" spans="2:3" x14ac:dyDescent="0.25">
      <c r="B199" s="125">
        <f t="shared" si="29"/>
        <v>45445</v>
      </c>
      <c r="C199">
        <v>10</v>
      </c>
    </row>
    <row r="200" spans="2:3" x14ac:dyDescent="0.25">
      <c r="B200" s="125">
        <f t="shared" si="29"/>
        <v>45446</v>
      </c>
      <c r="C200">
        <v>10</v>
      </c>
    </row>
    <row r="201" spans="2:3" x14ac:dyDescent="0.25">
      <c r="B201" s="125">
        <f t="shared" ref="B201:B264" si="31">B200+1</f>
        <v>45447</v>
      </c>
      <c r="C201">
        <v>10</v>
      </c>
    </row>
    <row r="202" spans="2:3" x14ac:dyDescent="0.25">
      <c r="B202" s="125">
        <f t="shared" si="31"/>
        <v>45448</v>
      </c>
      <c r="C202">
        <v>10</v>
      </c>
    </row>
    <row r="203" spans="2:3" x14ac:dyDescent="0.25">
      <c r="B203" s="125">
        <f t="shared" si="31"/>
        <v>45449</v>
      </c>
      <c r="C203">
        <v>10</v>
      </c>
    </row>
    <row r="204" spans="2:3" x14ac:dyDescent="0.25">
      <c r="B204" s="125">
        <f t="shared" si="31"/>
        <v>45450</v>
      </c>
      <c r="C204">
        <v>10</v>
      </c>
    </row>
    <row r="205" spans="2:3" x14ac:dyDescent="0.25">
      <c r="B205" s="125">
        <f t="shared" si="31"/>
        <v>45451</v>
      </c>
      <c r="C205">
        <v>11</v>
      </c>
    </row>
    <row r="206" spans="2:3" x14ac:dyDescent="0.25">
      <c r="B206" s="125">
        <f t="shared" si="31"/>
        <v>45452</v>
      </c>
      <c r="C206">
        <v>11</v>
      </c>
    </row>
    <row r="207" spans="2:3" x14ac:dyDescent="0.25">
      <c r="B207" s="125">
        <f t="shared" si="31"/>
        <v>45453</v>
      </c>
      <c r="C207">
        <v>11</v>
      </c>
    </row>
    <row r="208" spans="2:3" x14ac:dyDescent="0.25">
      <c r="B208" s="125">
        <f t="shared" si="31"/>
        <v>45454</v>
      </c>
      <c r="C208">
        <v>11</v>
      </c>
    </row>
    <row r="209" spans="2:3" x14ac:dyDescent="0.25">
      <c r="B209" s="125">
        <f t="shared" si="31"/>
        <v>45455</v>
      </c>
      <c r="C209">
        <v>11</v>
      </c>
    </row>
    <row r="210" spans="2:3" x14ac:dyDescent="0.25">
      <c r="B210" s="125">
        <f t="shared" si="31"/>
        <v>45456</v>
      </c>
      <c r="C210">
        <v>11</v>
      </c>
    </row>
    <row r="211" spans="2:3" x14ac:dyDescent="0.25">
      <c r="B211" s="125">
        <f t="shared" si="31"/>
        <v>45457</v>
      </c>
      <c r="C211">
        <v>11</v>
      </c>
    </row>
    <row r="212" spans="2:3" x14ac:dyDescent="0.25">
      <c r="B212" s="125">
        <f t="shared" si="31"/>
        <v>45458</v>
      </c>
      <c r="C212">
        <v>12</v>
      </c>
    </row>
    <row r="213" spans="2:3" x14ac:dyDescent="0.25">
      <c r="B213" s="125">
        <f t="shared" si="31"/>
        <v>45459</v>
      </c>
      <c r="C213">
        <v>12</v>
      </c>
    </row>
    <row r="214" spans="2:3" x14ac:dyDescent="0.25">
      <c r="B214" s="125">
        <f t="shared" si="31"/>
        <v>45460</v>
      </c>
      <c r="C214">
        <v>12</v>
      </c>
    </row>
    <row r="215" spans="2:3" x14ac:dyDescent="0.25">
      <c r="B215" s="125">
        <f t="shared" si="31"/>
        <v>45461</v>
      </c>
      <c r="C215">
        <v>12</v>
      </c>
    </row>
    <row r="216" spans="2:3" x14ac:dyDescent="0.25">
      <c r="B216" s="125">
        <f t="shared" si="31"/>
        <v>45462</v>
      </c>
      <c r="C216">
        <v>12</v>
      </c>
    </row>
    <row r="217" spans="2:3" x14ac:dyDescent="0.25">
      <c r="B217" s="125">
        <f t="shared" si="31"/>
        <v>45463</v>
      </c>
      <c r="C217">
        <v>12</v>
      </c>
    </row>
    <row r="218" spans="2:3" x14ac:dyDescent="0.25">
      <c r="B218" s="125">
        <f t="shared" si="31"/>
        <v>45464</v>
      </c>
      <c r="C218">
        <v>12</v>
      </c>
    </row>
    <row r="219" spans="2:3" x14ac:dyDescent="0.25">
      <c r="B219" s="125">
        <f t="shared" si="31"/>
        <v>45465</v>
      </c>
      <c r="C219">
        <v>13</v>
      </c>
    </row>
    <row r="220" spans="2:3" x14ac:dyDescent="0.25">
      <c r="B220" s="125">
        <f t="shared" si="31"/>
        <v>45466</v>
      </c>
      <c r="C220">
        <v>13</v>
      </c>
    </row>
    <row r="221" spans="2:3" x14ac:dyDescent="0.25">
      <c r="B221" s="125">
        <f t="shared" si="31"/>
        <v>45467</v>
      </c>
      <c r="C221">
        <v>13</v>
      </c>
    </row>
    <row r="222" spans="2:3" x14ac:dyDescent="0.25">
      <c r="B222" s="125">
        <f t="shared" si="31"/>
        <v>45468</v>
      </c>
      <c r="C222">
        <v>13</v>
      </c>
    </row>
    <row r="223" spans="2:3" x14ac:dyDescent="0.25">
      <c r="B223" s="125">
        <f t="shared" si="31"/>
        <v>45469</v>
      </c>
      <c r="C223">
        <v>13</v>
      </c>
    </row>
    <row r="224" spans="2:3" x14ac:dyDescent="0.25">
      <c r="B224" s="125">
        <f t="shared" si="31"/>
        <v>45470</v>
      </c>
      <c r="C224">
        <v>13</v>
      </c>
    </row>
    <row r="225" spans="2:3" x14ac:dyDescent="0.25">
      <c r="B225" s="125">
        <f t="shared" si="31"/>
        <v>45471</v>
      </c>
      <c r="C225">
        <v>13</v>
      </c>
    </row>
    <row r="226" spans="2:3" x14ac:dyDescent="0.25">
      <c r="B226" s="125">
        <f t="shared" si="31"/>
        <v>45472</v>
      </c>
      <c r="C226">
        <v>14</v>
      </c>
    </row>
    <row r="227" spans="2:3" x14ac:dyDescent="0.25">
      <c r="B227" s="125">
        <f t="shared" si="31"/>
        <v>45473</v>
      </c>
      <c r="C227">
        <v>14</v>
      </c>
    </row>
    <row r="228" spans="2:3" x14ac:dyDescent="0.25">
      <c r="B228" s="125">
        <f t="shared" si="31"/>
        <v>45474</v>
      </c>
      <c r="C228">
        <v>14</v>
      </c>
    </row>
    <row r="229" spans="2:3" x14ac:dyDescent="0.25">
      <c r="B229" s="125">
        <f t="shared" si="31"/>
        <v>45475</v>
      </c>
      <c r="C229">
        <v>14</v>
      </c>
    </row>
    <row r="230" spans="2:3" x14ac:dyDescent="0.25">
      <c r="B230" s="125">
        <f t="shared" si="31"/>
        <v>45476</v>
      </c>
      <c r="C230">
        <v>14</v>
      </c>
    </row>
    <row r="231" spans="2:3" x14ac:dyDescent="0.25">
      <c r="B231" s="125">
        <f t="shared" si="31"/>
        <v>45477</v>
      </c>
      <c r="C231">
        <v>14</v>
      </c>
    </row>
    <row r="232" spans="2:3" x14ac:dyDescent="0.25">
      <c r="B232" s="125">
        <f t="shared" si="31"/>
        <v>45478</v>
      </c>
      <c r="C232">
        <v>14</v>
      </c>
    </row>
    <row r="233" spans="2:3" x14ac:dyDescent="0.25">
      <c r="B233" s="125">
        <f t="shared" si="31"/>
        <v>45479</v>
      </c>
      <c r="C233">
        <v>15</v>
      </c>
    </row>
    <row r="234" spans="2:3" x14ac:dyDescent="0.25">
      <c r="B234" s="125">
        <f t="shared" si="31"/>
        <v>45480</v>
      </c>
      <c r="C234">
        <v>15</v>
      </c>
    </row>
    <row r="235" spans="2:3" x14ac:dyDescent="0.25">
      <c r="B235" s="125">
        <f t="shared" si="31"/>
        <v>45481</v>
      </c>
      <c r="C235">
        <v>15</v>
      </c>
    </row>
    <row r="236" spans="2:3" x14ac:dyDescent="0.25">
      <c r="B236" s="125">
        <f t="shared" si="31"/>
        <v>45482</v>
      </c>
      <c r="C236">
        <v>15</v>
      </c>
    </row>
    <row r="237" spans="2:3" x14ac:dyDescent="0.25">
      <c r="B237" s="125">
        <f t="shared" si="31"/>
        <v>45483</v>
      </c>
      <c r="C237">
        <v>15</v>
      </c>
    </row>
    <row r="238" spans="2:3" x14ac:dyDescent="0.25">
      <c r="B238" s="125">
        <f t="shared" si="31"/>
        <v>45484</v>
      </c>
      <c r="C238">
        <v>15</v>
      </c>
    </row>
    <row r="239" spans="2:3" x14ac:dyDescent="0.25">
      <c r="B239" s="125">
        <f t="shared" si="31"/>
        <v>45485</v>
      </c>
      <c r="C239">
        <v>15</v>
      </c>
    </row>
    <row r="240" spans="2:3" x14ac:dyDescent="0.25">
      <c r="B240" s="125">
        <f t="shared" si="31"/>
        <v>45486</v>
      </c>
      <c r="C240">
        <v>16</v>
      </c>
    </row>
    <row r="241" spans="2:3" x14ac:dyDescent="0.25">
      <c r="B241" s="125">
        <f t="shared" si="31"/>
        <v>45487</v>
      </c>
      <c r="C241">
        <v>16</v>
      </c>
    </row>
    <row r="242" spans="2:3" x14ac:dyDescent="0.25">
      <c r="B242" s="125">
        <f t="shared" si="31"/>
        <v>45488</v>
      </c>
      <c r="C242">
        <v>16</v>
      </c>
    </row>
    <row r="243" spans="2:3" x14ac:dyDescent="0.25">
      <c r="B243" s="125">
        <f t="shared" si="31"/>
        <v>45489</v>
      </c>
      <c r="C243">
        <v>16</v>
      </c>
    </row>
    <row r="244" spans="2:3" x14ac:dyDescent="0.25">
      <c r="B244" s="125">
        <f t="shared" si="31"/>
        <v>45490</v>
      </c>
      <c r="C244">
        <v>16</v>
      </c>
    </row>
    <row r="245" spans="2:3" x14ac:dyDescent="0.25">
      <c r="B245" s="125">
        <f t="shared" si="31"/>
        <v>45491</v>
      </c>
      <c r="C245">
        <v>16</v>
      </c>
    </row>
    <row r="246" spans="2:3" x14ac:dyDescent="0.25">
      <c r="B246" s="125">
        <f t="shared" si="31"/>
        <v>45492</v>
      </c>
      <c r="C246">
        <v>16</v>
      </c>
    </row>
    <row r="247" spans="2:3" x14ac:dyDescent="0.25">
      <c r="B247" s="125">
        <f t="shared" si="31"/>
        <v>45493</v>
      </c>
      <c r="C247">
        <v>17</v>
      </c>
    </row>
    <row r="248" spans="2:3" x14ac:dyDescent="0.25">
      <c r="B248" s="125">
        <f t="shared" si="31"/>
        <v>45494</v>
      </c>
      <c r="C248">
        <v>17</v>
      </c>
    </row>
    <row r="249" spans="2:3" x14ac:dyDescent="0.25">
      <c r="B249" s="125">
        <f t="shared" si="31"/>
        <v>45495</v>
      </c>
      <c r="C249">
        <v>17</v>
      </c>
    </row>
    <row r="250" spans="2:3" x14ac:dyDescent="0.25">
      <c r="B250" s="125">
        <f t="shared" si="31"/>
        <v>45496</v>
      </c>
      <c r="C250">
        <v>17</v>
      </c>
    </row>
    <row r="251" spans="2:3" x14ac:dyDescent="0.25">
      <c r="B251" s="125">
        <f t="shared" si="31"/>
        <v>45497</v>
      </c>
      <c r="C251">
        <v>17</v>
      </c>
    </row>
    <row r="252" spans="2:3" x14ac:dyDescent="0.25">
      <c r="B252" s="125">
        <f t="shared" si="31"/>
        <v>45498</v>
      </c>
      <c r="C252">
        <v>17</v>
      </c>
    </row>
    <row r="253" spans="2:3" x14ac:dyDescent="0.25">
      <c r="B253" s="125">
        <f t="shared" si="31"/>
        <v>45499</v>
      </c>
      <c r="C253">
        <v>17</v>
      </c>
    </row>
    <row r="254" spans="2:3" x14ac:dyDescent="0.25">
      <c r="B254" s="125">
        <f t="shared" si="31"/>
        <v>45500</v>
      </c>
      <c r="C254">
        <v>18</v>
      </c>
    </row>
    <row r="255" spans="2:3" x14ac:dyDescent="0.25">
      <c r="B255" s="125">
        <f t="shared" si="31"/>
        <v>45501</v>
      </c>
      <c r="C255">
        <v>18</v>
      </c>
    </row>
    <row r="256" spans="2:3" x14ac:dyDescent="0.25">
      <c r="B256" s="125">
        <f t="shared" si="31"/>
        <v>45502</v>
      </c>
      <c r="C256">
        <v>18</v>
      </c>
    </row>
    <row r="257" spans="2:3" x14ac:dyDescent="0.25">
      <c r="B257" s="125">
        <f t="shared" si="31"/>
        <v>45503</v>
      </c>
      <c r="C257">
        <v>18</v>
      </c>
    </row>
    <row r="258" spans="2:3" x14ac:dyDescent="0.25">
      <c r="B258" s="125">
        <f t="shared" si="31"/>
        <v>45504</v>
      </c>
      <c r="C258">
        <v>18</v>
      </c>
    </row>
    <row r="259" spans="2:3" x14ac:dyDescent="0.25">
      <c r="B259" s="125">
        <f t="shared" si="31"/>
        <v>45505</v>
      </c>
      <c r="C259">
        <v>18</v>
      </c>
    </row>
    <row r="260" spans="2:3" x14ac:dyDescent="0.25">
      <c r="B260" s="125">
        <f t="shared" si="31"/>
        <v>45506</v>
      </c>
      <c r="C260">
        <v>18</v>
      </c>
    </row>
    <row r="261" spans="2:3" x14ac:dyDescent="0.25">
      <c r="B261" s="125">
        <f t="shared" si="31"/>
        <v>45507</v>
      </c>
      <c r="C261">
        <f t="shared" ref="C261:C324" si="32">C254+1</f>
        <v>19</v>
      </c>
    </row>
    <row r="262" spans="2:3" x14ac:dyDescent="0.25">
      <c r="B262" s="125">
        <f t="shared" si="31"/>
        <v>45508</v>
      </c>
      <c r="C262">
        <f t="shared" si="32"/>
        <v>19</v>
      </c>
    </row>
    <row r="263" spans="2:3" x14ac:dyDescent="0.25">
      <c r="B263" s="125">
        <f t="shared" si="31"/>
        <v>45509</v>
      </c>
      <c r="C263">
        <f t="shared" si="32"/>
        <v>19</v>
      </c>
    </row>
    <row r="264" spans="2:3" x14ac:dyDescent="0.25">
      <c r="B264" s="125">
        <f t="shared" si="31"/>
        <v>45510</v>
      </c>
      <c r="C264">
        <f t="shared" si="32"/>
        <v>19</v>
      </c>
    </row>
    <row r="265" spans="2:3" x14ac:dyDescent="0.25">
      <c r="B265" s="125">
        <f t="shared" ref="B265:B328" si="33">B264+1</f>
        <v>45511</v>
      </c>
      <c r="C265">
        <f t="shared" si="32"/>
        <v>19</v>
      </c>
    </row>
    <row r="266" spans="2:3" x14ac:dyDescent="0.25">
      <c r="B266" s="125">
        <f t="shared" si="33"/>
        <v>45512</v>
      </c>
      <c r="C266">
        <f t="shared" si="32"/>
        <v>19</v>
      </c>
    </row>
    <row r="267" spans="2:3" x14ac:dyDescent="0.25">
      <c r="B267" s="125">
        <f t="shared" si="33"/>
        <v>45513</v>
      </c>
      <c r="C267">
        <f t="shared" si="32"/>
        <v>19</v>
      </c>
    </row>
    <row r="268" spans="2:3" x14ac:dyDescent="0.25">
      <c r="B268" s="125">
        <f t="shared" si="33"/>
        <v>45514</v>
      </c>
      <c r="C268">
        <f t="shared" si="32"/>
        <v>20</v>
      </c>
    </row>
    <row r="269" spans="2:3" x14ac:dyDescent="0.25">
      <c r="B269" s="125">
        <f t="shared" si="33"/>
        <v>45515</v>
      </c>
      <c r="C269">
        <f t="shared" si="32"/>
        <v>20</v>
      </c>
    </row>
    <row r="270" spans="2:3" x14ac:dyDescent="0.25">
      <c r="B270" s="125">
        <f t="shared" si="33"/>
        <v>45516</v>
      </c>
      <c r="C270">
        <f t="shared" si="32"/>
        <v>20</v>
      </c>
    </row>
    <row r="271" spans="2:3" x14ac:dyDescent="0.25">
      <c r="B271" s="125">
        <f t="shared" si="33"/>
        <v>45517</v>
      </c>
      <c r="C271">
        <f t="shared" si="32"/>
        <v>20</v>
      </c>
    </row>
    <row r="272" spans="2:3" x14ac:dyDescent="0.25">
      <c r="B272" s="125">
        <f t="shared" si="33"/>
        <v>45518</v>
      </c>
      <c r="C272">
        <f t="shared" si="32"/>
        <v>20</v>
      </c>
    </row>
    <row r="273" spans="2:3" x14ac:dyDescent="0.25">
      <c r="B273" s="125">
        <f t="shared" si="33"/>
        <v>45519</v>
      </c>
      <c r="C273">
        <f t="shared" si="32"/>
        <v>20</v>
      </c>
    </row>
    <row r="274" spans="2:3" x14ac:dyDescent="0.25">
      <c r="B274" s="125">
        <f t="shared" si="33"/>
        <v>45520</v>
      </c>
      <c r="C274">
        <f t="shared" si="32"/>
        <v>20</v>
      </c>
    </row>
    <row r="275" spans="2:3" x14ac:dyDescent="0.25">
      <c r="B275" s="125">
        <f t="shared" si="33"/>
        <v>45521</v>
      </c>
      <c r="C275">
        <f t="shared" si="32"/>
        <v>21</v>
      </c>
    </row>
    <row r="276" spans="2:3" x14ac:dyDescent="0.25">
      <c r="B276" s="125">
        <f t="shared" si="33"/>
        <v>45522</v>
      </c>
      <c r="C276">
        <f t="shared" si="32"/>
        <v>21</v>
      </c>
    </row>
    <row r="277" spans="2:3" x14ac:dyDescent="0.25">
      <c r="B277" s="125">
        <f t="shared" si="33"/>
        <v>45523</v>
      </c>
      <c r="C277">
        <f t="shared" si="32"/>
        <v>21</v>
      </c>
    </row>
    <row r="278" spans="2:3" x14ac:dyDescent="0.25">
      <c r="B278" s="125">
        <f t="shared" si="33"/>
        <v>45524</v>
      </c>
      <c r="C278">
        <f t="shared" si="32"/>
        <v>21</v>
      </c>
    </row>
    <row r="279" spans="2:3" x14ac:dyDescent="0.25">
      <c r="B279" s="125">
        <f t="shared" si="33"/>
        <v>45525</v>
      </c>
      <c r="C279">
        <f t="shared" si="32"/>
        <v>21</v>
      </c>
    </row>
    <row r="280" spans="2:3" x14ac:dyDescent="0.25">
      <c r="B280" s="125">
        <f t="shared" si="33"/>
        <v>45526</v>
      </c>
      <c r="C280">
        <f t="shared" si="32"/>
        <v>21</v>
      </c>
    </row>
    <row r="281" spans="2:3" x14ac:dyDescent="0.25">
      <c r="B281" s="125">
        <f t="shared" si="33"/>
        <v>45527</v>
      </c>
      <c r="C281">
        <f t="shared" si="32"/>
        <v>21</v>
      </c>
    </row>
    <row r="282" spans="2:3" x14ac:dyDescent="0.25">
      <c r="B282" s="125">
        <f t="shared" si="33"/>
        <v>45528</v>
      </c>
      <c r="C282">
        <f t="shared" si="32"/>
        <v>22</v>
      </c>
    </row>
    <row r="283" spans="2:3" x14ac:dyDescent="0.25">
      <c r="B283" s="125">
        <f t="shared" si="33"/>
        <v>45529</v>
      </c>
      <c r="C283">
        <f t="shared" si="32"/>
        <v>22</v>
      </c>
    </row>
    <row r="284" spans="2:3" x14ac:dyDescent="0.25">
      <c r="B284" s="125">
        <f t="shared" si="33"/>
        <v>45530</v>
      </c>
      <c r="C284">
        <f t="shared" si="32"/>
        <v>22</v>
      </c>
    </row>
    <row r="285" spans="2:3" x14ac:dyDescent="0.25">
      <c r="B285" s="125">
        <f t="shared" si="33"/>
        <v>45531</v>
      </c>
      <c r="C285">
        <f t="shared" si="32"/>
        <v>22</v>
      </c>
    </row>
    <row r="286" spans="2:3" x14ac:dyDescent="0.25">
      <c r="B286" s="125">
        <f t="shared" si="33"/>
        <v>45532</v>
      </c>
      <c r="C286">
        <f t="shared" si="32"/>
        <v>22</v>
      </c>
    </row>
    <row r="287" spans="2:3" x14ac:dyDescent="0.25">
      <c r="B287" s="125">
        <f t="shared" si="33"/>
        <v>45533</v>
      </c>
      <c r="C287">
        <f t="shared" si="32"/>
        <v>22</v>
      </c>
    </row>
    <row r="288" spans="2:3" x14ac:dyDescent="0.25">
      <c r="B288" s="125">
        <f t="shared" si="33"/>
        <v>45534</v>
      </c>
      <c r="C288">
        <f t="shared" si="32"/>
        <v>22</v>
      </c>
    </row>
    <row r="289" spans="2:3" x14ac:dyDescent="0.25">
      <c r="B289" s="125">
        <f t="shared" si="33"/>
        <v>45535</v>
      </c>
      <c r="C289">
        <f t="shared" si="32"/>
        <v>23</v>
      </c>
    </row>
    <row r="290" spans="2:3" x14ac:dyDescent="0.25">
      <c r="B290" s="125">
        <f t="shared" si="33"/>
        <v>45536</v>
      </c>
      <c r="C290">
        <f t="shared" si="32"/>
        <v>23</v>
      </c>
    </row>
    <row r="291" spans="2:3" x14ac:dyDescent="0.25">
      <c r="B291" s="125">
        <f t="shared" si="33"/>
        <v>45537</v>
      </c>
      <c r="C291">
        <f t="shared" si="32"/>
        <v>23</v>
      </c>
    </row>
    <row r="292" spans="2:3" x14ac:dyDescent="0.25">
      <c r="B292" s="125">
        <f t="shared" si="33"/>
        <v>45538</v>
      </c>
      <c r="C292">
        <f t="shared" si="32"/>
        <v>23</v>
      </c>
    </row>
    <row r="293" spans="2:3" x14ac:dyDescent="0.25">
      <c r="B293" s="125">
        <f t="shared" si="33"/>
        <v>45539</v>
      </c>
      <c r="C293">
        <f t="shared" si="32"/>
        <v>23</v>
      </c>
    </row>
    <row r="294" spans="2:3" x14ac:dyDescent="0.25">
      <c r="B294" s="125">
        <f t="shared" si="33"/>
        <v>45540</v>
      </c>
      <c r="C294">
        <f t="shared" si="32"/>
        <v>23</v>
      </c>
    </row>
    <row r="295" spans="2:3" x14ac:dyDescent="0.25">
      <c r="B295" s="125">
        <f t="shared" si="33"/>
        <v>45541</v>
      </c>
      <c r="C295">
        <f t="shared" si="32"/>
        <v>23</v>
      </c>
    </row>
    <row r="296" spans="2:3" x14ac:dyDescent="0.25">
      <c r="B296" s="125">
        <f t="shared" si="33"/>
        <v>45542</v>
      </c>
      <c r="C296">
        <f t="shared" si="32"/>
        <v>24</v>
      </c>
    </row>
    <row r="297" spans="2:3" x14ac:dyDescent="0.25">
      <c r="B297" s="125">
        <f t="shared" si="33"/>
        <v>45543</v>
      </c>
      <c r="C297">
        <f t="shared" si="32"/>
        <v>24</v>
      </c>
    </row>
    <row r="298" spans="2:3" x14ac:dyDescent="0.25">
      <c r="B298" s="125">
        <f t="shared" si="33"/>
        <v>45544</v>
      </c>
      <c r="C298">
        <f t="shared" si="32"/>
        <v>24</v>
      </c>
    </row>
    <row r="299" spans="2:3" x14ac:dyDescent="0.25">
      <c r="B299" s="125">
        <f t="shared" si="33"/>
        <v>45545</v>
      </c>
      <c r="C299">
        <f t="shared" si="32"/>
        <v>24</v>
      </c>
    </row>
    <row r="300" spans="2:3" x14ac:dyDescent="0.25">
      <c r="B300" s="125">
        <f t="shared" si="33"/>
        <v>45546</v>
      </c>
      <c r="C300">
        <f t="shared" si="32"/>
        <v>24</v>
      </c>
    </row>
    <row r="301" spans="2:3" x14ac:dyDescent="0.25">
      <c r="B301" s="125">
        <f t="shared" si="33"/>
        <v>45547</v>
      </c>
      <c r="C301">
        <f t="shared" si="32"/>
        <v>24</v>
      </c>
    </row>
    <row r="302" spans="2:3" x14ac:dyDescent="0.25">
      <c r="B302" s="125">
        <f t="shared" si="33"/>
        <v>45548</v>
      </c>
      <c r="C302">
        <f t="shared" si="32"/>
        <v>24</v>
      </c>
    </row>
    <row r="303" spans="2:3" x14ac:dyDescent="0.25">
      <c r="B303" s="125">
        <f t="shared" si="33"/>
        <v>45549</v>
      </c>
      <c r="C303">
        <f t="shared" si="32"/>
        <v>25</v>
      </c>
    </row>
    <row r="304" spans="2:3" x14ac:dyDescent="0.25">
      <c r="B304" s="125">
        <f t="shared" si="33"/>
        <v>45550</v>
      </c>
      <c r="C304">
        <f t="shared" si="32"/>
        <v>25</v>
      </c>
    </row>
    <row r="305" spans="2:3" x14ac:dyDescent="0.25">
      <c r="B305" s="125">
        <f t="shared" si="33"/>
        <v>45551</v>
      </c>
      <c r="C305">
        <f t="shared" si="32"/>
        <v>25</v>
      </c>
    </row>
    <row r="306" spans="2:3" x14ac:dyDescent="0.25">
      <c r="B306" s="125">
        <f t="shared" si="33"/>
        <v>45552</v>
      </c>
      <c r="C306">
        <f t="shared" si="32"/>
        <v>25</v>
      </c>
    </row>
    <row r="307" spans="2:3" x14ac:dyDescent="0.25">
      <c r="B307" s="125">
        <f t="shared" si="33"/>
        <v>45553</v>
      </c>
      <c r="C307">
        <f t="shared" si="32"/>
        <v>25</v>
      </c>
    </row>
    <row r="308" spans="2:3" x14ac:dyDescent="0.25">
      <c r="B308" s="125">
        <f t="shared" si="33"/>
        <v>45554</v>
      </c>
      <c r="C308">
        <f t="shared" si="32"/>
        <v>25</v>
      </c>
    </row>
    <row r="309" spans="2:3" x14ac:dyDescent="0.25">
      <c r="B309" s="125">
        <f t="shared" si="33"/>
        <v>45555</v>
      </c>
      <c r="C309">
        <f t="shared" si="32"/>
        <v>25</v>
      </c>
    </row>
    <row r="310" spans="2:3" x14ac:dyDescent="0.25">
      <c r="B310" s="125">
        <f t="shared" si="33"/>
        <v>45556</v>
      </c>
      <c r="C310">
        <f t="shared" si="32"/>
        <v>26</v>
      </c>
    </row>
    <row r="311" spans="2:3" x14ac:dyDescent="0.25">
      <c r="B311" s="125">
        <f t="shared" si="33"/>
        <v>45557</v>
      </c>
      <c r="C311">
        <f t="shared" si="32"/>
        <v>26</v>
      </c>
    </row>
    <row r="312" spans="2:3" x14ac:dyDescent="0.25">
      <c r="B312" s="125">
        <f t="shared" si="33"/>
        <v>45558</v>
      </c>
      <c r="C312">
        <f t="shared" si="32"/>
        <v>26</v>
      </c>
    </row>
    <row r="313" spans="2:3" x14ac:dyDescent="0.25">
      <c r="B313" s="125">
        <f t="shared" si="33"/>
        <v>45559</v>
      </c>
      <c r="C313">
        <f t="shared" si="32"/>
        <v>26</v>
      </c>
    </row>
    <row r="314" spans="2:3" x14ac:dyDescent="0.25">
      <c r="B314" s="125">
        <f t="shared" si="33"/>
        <v>45560</v>
      </c>
      <c r="C314">
        <f t="shared" si="32"/>
        <v>26</v>
      </c>
    </row>
    <row r="315" spans="2:3" x14ac:dyDescent="0.25">
      <c r="B315" s="125">
        <f t="shared" si="33"/>
        <v>45561</v>
      </c>
      <c r="C315">
        <f t="shared" si="32"/>
        <v>26</v>
      </c>
    </row>
    <row r="316" spans="2:3" x14ac:dyDescent="0.25">
      <c r="B316" s="125">
        <f t="shared" si="33"/>
        <v>45562</v>
      </c>
      <c r="C316">
        <f t="shared" si="32"/>
        <v>26</v>
      </c>
    </row>
    <row r="317" spans="2:3" x14ac:dyDescent="0.25">
      <c r="B317" s="125">
        <f t="shared" si="33"/>
        <v>45563</v>
      </c>
      <c r="C317">
        <f t="shared" si="32"/>
        <v>27</v>
      </c>
    </row>
    <row r="318" spans="2:3" x14ac:dyDescent="0.25">
      <c r="B318" s="125">
        <f t="shared" si="33"/>
        <v>45564</v>
      </c>
      <c r="C318">
        <f t="shared" si="32"/>
        <v>27</v>
      </c>
    </row>
    <row r="319" spans="2:3" x14ac:dyDescent="0.25">
      <c r="B319" s="125">
        <f t="shared" si="33"/>
        <v>45565</v>
      </c>
      <c r="C319">
        <f t="shared" si="32"/>
        <v>27</v>
      </c>
    </row>
    <row r="320" spans="2:3" x14ac:dyDescent="0.25">
      <c r="B320" s="125">
        <f t="shared" si="33"/>
        <v>45566</v>
      </c>
      <c r="C320">
        <f t="shared" si="32"/>
        <v>27</v>
      </c>
    </row>
    <row r="321" spans="2:3" x14ac:dyDescent="0.25">
      <c r="B321" s="125">
        <f t="shared" si="33"/>
        <v>45567</v>
      </c>
      <c r="C321">
        <f t="shared" si="32"/>
        <v>27</v>
      </c>
    </row>
    <row r="322" spans="2:3" x14ac:dyDescent="0.25">
      <c r="B322" s="125">
        <f t="shared" si="33"/>
        <v>45568</v>
      </c>
      <c r="C322">
        <f t="shared" si="32"/>
        <v>27</v>
      </c>
    </row>
    <row r="323" spans="2:3" x14ac:dyDescent="0.25">
      <c r="B323" s="125">
        <f t="shared" si="33"/>
        <v>45569</v>
      </c>
      <c r="C323">
        <f t="shared" si="32"/>
        <v>27</v>
      </c>
    </row>
    <row r="324" spans="2:3" x14ac:dyDescent="0.25">
      <c r="B324" s="125">
        <f t="shared" si="33"/>
        <v>45570</v>
      </c>
      <c r="C324">
        <f t="shared" si="32"/>
        <v>28</v>
      </c>
    </row>
    <row r="325" spans="2:3" x14ac:dyDescent="0.25">
      <c r="B325" s="125">
        <f t="shared" si="33"/>
        <v>45571</v>
      </c>
      <c r="C325">
        <f t="shared" ref="C325:C388" si="34">C318+1</f>
        <v>28</v>
      </c>
    </row>
    <row r="326" spans="2:3" x14ac:dyDescent="0.25">
      <c r="B326" s="125">
        <f t="shared" si="33"/>
        <v>45572</v>
      </c>
      <c r="C326">
        <f t="shared" si="34"/>
        <v>28</v>
      </c>
    </row>
    <row r="327" spans="2:3" x14ac:dyDescent="0.25">
      <c r="B327" s="125">
        <f t="shared" si="33"/>
        <v>45573</v>
      </c>
      <c r="C327">
        <f t="shared" si="34"/>
        <v>28</v>
      </c>
    </row>
    <row r="328" spans="2:3" x14ac:dyDescent="0.25">
      <c r="B328" s="125">
        <f t="shared" si="33"/>
        <v>45574</v>
      </c>
      <c r="C328">
        <f t="shared" si="34"/>
        <v>28</v>
      </c>
    </row>
    <row r="329" spans="2:3" x14ac:dyDescent="0.25">
      <c r="B329" s="125">
        <f t="shared" ref="B329:B392" si="35">B328+1</f>
        <v>45575</v>
      </c>
      <c r="C329">
        <f t="shared" si="34"/>
        <v>28</v>
      </c>
    </row>
    <row r="330" spans="2:3" x14ac:dyDescent="0.25">
      <c r="B330" s="125">
        <f t="shared" si="35"/>
        <v>45576</v>
      </c>
      <c r="C330">
        <f t="shared" si="34"/>
        <v>28</v>
      </c>
    </row>
    <row r="331" spans="2:3" x14ac:dyDescent="0.25">
      <c r="B331" s="125">
        <f t="shared" si="35"/>
        <v>45577</v>
      </c>
      <c r="C331">
        <f t="shared" si="34"/>
        <v>29</v>
      </c>
    </row>
    <row r="332" spans="2:3" x14ac:dyDescent="0.25">
      <c r="B332" s="125">
        <f t="shared" si="35"/>
        <v>45578</v>
      </c>
      <c r="C332">
        <f t="shared" si="34"/>
        <v>29</v>
      </c>
    </row>
    <row r="333" spans="2:3" x14ac:dyDescent="0.25">
      <c r="B333" s="125">
        <f t="shared" si="35"/>
        <v>45579</v>
      </c>
      <c r="C333">
        <f t="shared" si="34"/>
        <v>29</v>
      </c>
    </row>
    <row r="334" spans="2:3" x14ac:dyDescent="0.25">
      <c r="B334" s="125">
        <f t="shared" si="35"/>
        <v>45580</v>
      </c>
      <c r="C334">
        <f t="shared" si="34"/>
        <v>29</v>
      </c>
    </row>
    <row r="335" spans="2:3" x14ac:dyDescent="0.25">
      <c r="B335" s="125">
        <f t="shared" si="35"/>
        <v>45581</v>
      </c>
      <c r="C335">
        <f t="shared" si="34"/>
        <v>29</v>
      </c>
    </row>
    <row r="336" spans="2:3" x14ac:dyDescent="0.25">
      <c r="B336" s="125">
        <f t="shared" si="35"/>
        <v>45582</v>
      </c>
      <c r="C336">
        <f t="shared" si="34"/>
        <v>29</v>
      </c>
    </row>
    <row r="337" spans="2:3" x14ac:dyDescent="0.25">
      <c r="B337" s="125">
        <f t="shared" si="35"/>
        <v>45583</v>
      </c>
      <c r="C337">
        <f t="shared" si="34"/>
        <v>29</v>
      </c>
    </row>
    <row r="338" spans="2:3" x14ac:dyDescent="0.25">
      <c r="B338" s="125">
        <f t="shared" si="35"/>
        <v>45584</v>
      </c>
      <c r="C338">
        <f t="shared" si="34"/>
        <v>30</v>
      </c>
    </row>
    <row r="339" spans="2:3" x14ac:dyDescent="0.25">
      <c r="B339" s="125">
        <f t="shared" si="35"/>
        <v>45585</v>
      </c>
      <c r="C339">
        <f t="shared" si="34"/>
        <v>30</v>
      </c>
    </row>
    <row r="340" spans="2:3" x14ac:dyDescent="0.25">
      <c r="B340" s="125">
        <f t="shared" si="35"/>
        <v>45586</v>
      </c>
      <c r="C340">
        <f t="shared" si="34"/>
        <v>30</v>
      </c>
    </row>
    <row r="341" spans="2:3" x14ac:dyDescent="0.25">
      <c r="B341" s="125">
        <f t="shared" si="35"/>
        <v>45587</v>
      </c>
      <c r="C341">
        <f t="shared" si="34"/>
        <v>30</v>
      </c>
    </row>
    <row r="342" spans="2:3" x14ac:dyDescent="0.25">
      <c r="B342" s="125">
        <f t="shared" si="35"/>
        <v>45588</v>
      </c>
      <c r="C342">
        <f t="shared" si="34"/>
        <v>30</v>
      </c>
    </row>
    <row r="343" spans="2:3" x14ac:dyDescent="0.25">
      <c r="B343" s="125">
        <f t="shared" si="35"/>
        <v>45589</v>
      </c>
      <c r="C343">
        <f t="shared" si="34"/>
        <v>30</v>
      </c>
    </row>
    <row r="344" spans="2:3" x14ac:dyDescent="0.25">
      <c r="B344" s="125">
        <f t="shared" si="35"/>
        <v>45590</v>
      </c>
      <c r="C344">
        <f t="shared" si="34"/>
        <v>30</v>
      </c>
    </row>
    <row r="345" spans="2:3" x14ac:dyDescent="0.25">
      <c r="B345" s="125">
        <f t="shared" si="35"/>
        <v>45591</v>
      </c>
      <c r="C345">
        <f t="shared" si="34"/>
        <v>31</v>
      </c>
    </row>
    <row r="346" spans="2:3" x14ac:dyDescent="0.25">
      <c r="B346" s="125">
        <f t="shared" si="35"/>
        <v>45592</v>
      </c>
      <c r="C346">
        <f t="shared" si="34"/>
        <v>31</v>
      </c>
    </row>
    <row r="347" spans="2:3" x14ac:dyDescent="0.25">
      <c r="B347" s="125">
        <f t="shared" si="35"/>
        <v>45593</v>
      </c>
      <c r="C347">
        <f t="shared" si="34"/>
        <v>31</v>
      </c>
    </row>
    <row r="348" spans="2:3" x14ac:dyDescent="0.25">
      <c r="B348" s="125">
        <f t="shared" si="35"/>
        <v>45594</v>
      </c>
      <c r="C348">
        <f t="shared" si="34"/>
        <v>31</v>
      </c>
    </row>
    <row r="349" spans="2:3" x14ac:dyDescent="0.25">
      <c r="B349" s="125">
        <f t="shared" si="35"/>
        <v>45595</v>
      </c>
      <c r="C349">
        <f t="shared" si="34"/>
        <v>31</v>
      </c>
    </row>
    <row r="350" spans="2:3" x14ac:dyDescent="0.25">
      <c r="B350" s="125">
        <f t="shared" si="35"/>
        <v>45596</v>
      </c>
      <c r="C350">
        <f t="shared" si="34"/>
        <v>31</v>
      </c>
    </row>
    <row r="351" spans="2:3" x14ac:dyDescent="0.25">
      <c r="B351" s="125">
        <f t="shared" si="35"/>
        <v>45597</v>
      </c>
      <c r="C351">
        <f t="shared" si="34"/>
        <v>31</v>
      </c>
    </row>
    <row r="352" spans="2:3" x14ac:dyDescent="0.25">
      <c r="B352" s="125">
        <f t="shared" si="35"/>
        <v>45598</v>
      </c>
      <c r="C352">
        <f t="shared" si="34"/>
        <v>32</v>
      </c>
    </row>
    <row r="353" spans="2:3" x14ac:dyDescent="0.25">
      <c r="B353" s="125">
        <f t="shared" si="35"/>
        <v>45599</v>
      </c>
      <c r="C353">
        <f t="shared" si="34"/>
        <v>32</v>
      </c>
    </row>
    <row r="354" spans="2:3" x14ac:dyDescent="0.25">
      <c r="B354" s="125">
        <f t="shared" si="35"/>
        <v>45600</v>
      </c>
      <c r="C354">
        <f t="shared" si="34"/>
        <v>32</v>
      </c>
    </row>
    <row r="355" spans="2:3" x14ac:dyDescent="0.25">
      <c r="B355" s="125">
        <f t="shared" si="35"/>
        <v>45601</v>
      </c>
      <c r="C355">
        <f t="shared" si="34"/>
        <v>32</v>
      </c>
    </row>
    <row r="356" spans="2:3" x14ac:dyDescent="0.25">
      <c r="B356" s="125">
        <f t="shared" si="35"/>
        <v>45602</v>
      </c>
      <c r="C356">
        <f t="shared" si="34"/>
        <v>32</v>
      </c>
    </row>
    <row r="357" spans="2:3" x14ac:dyDescent="0.25">
      <c r="B357" s="125">
        <f t="shared" si="35"/>
        <v>45603</v>
      </c>
      <c r="C357">
        <f t="shared" si="34"/>
        <v>32</v>
      </c>
    </row>
    <row r="358" spans="2:3" x14ac:dyDescent="0.25">
      <c r="B358" s="125">
        <f t="shared" si="35"/>
        <v>45604</v>
      </c>
      <c r="C358">
        <f t="shared" si="34"/>
        <v>32</v>
      </c>
    </row>
    <row r="359" spans="2:3" x14ac:dyDescent="0.25">
      <c r="B359" s="125">
        <f t="shared" si="35"/>
        <v>45605</v>
      </c>
      <c r="C359">
        <f t="shared" si="34"/>
        <v>33</v>
      </c>
    </row>
    <row r="360" spans="2:3" x14ac:dyDescent="0.25">
      <c r="B360" s="125">
        <f t="shared" si="35"/>
        <v>45606</v>
      </c>
      <c r="C360">
        <f t="shared" si="34"/>
        <v>33</v>
      </c>
    </row>
    <row r="361" spans="2:3" x14ac:dyDescent="0.25">
      <c r="B361" s="125">
        <f t="shared" si="35"/>
        <v>45607</v>
      </c>
      <c r="C361">
        <f t="shared" si="34"/>
        <v>33</v>
      </c>
    </row>
    <row r="362" spans="2:3" x14ac:dyDescent="0.25">
      <c r="B362" s="125">
        <f t="shared" si="35"/>
        <v>45608</v>
      </c>
      <c r="C362">
        <f t="shared" si="34"/>
        <v>33</v>
      </c>
    </row>
    <row r="363" spans="2:3" x14ac:dyDescent="0.25">
      <c r="B363" s="125">
        <f t="shared" si="35"/>
        <v>45609</v>
      </c>
      <c r="C363">
        <f t="shared" si="34"/>
        <v>33</v>
      </c>
    </row>
    <row r="364" spans="2:3" x14ac:dyDescent="0.25">
      <c r="B364" s="125">
        <f t="shared" si="35"/>
        <v>45610</v>
      </c>
      <c r="C364">
        <f t="shared" si="34"/>
        <v>33</v>
      </c>
    </row>
    <row r="365" spans="2:3" x14ac:dyDescent="0.25">
      <c r="B365" s="125">
        <f t="shared" si="35"/>
        <v>45611</v>
      </c>
      <c r="C365">
        <f t="shared" si="34"/>
        <v>33</v>
      </c>
    </row>
    <row r="366" spans="2:3" x14ac:dyDescent="0.25">
      <c r="B366" s="125">
        <f t="shared" si="35"/>
        <v>45612</v>
      </c>
      <c r="C366">
        <f t="shared" si="34"/>
        <v>34</v>
      </c>
    </row>
    <row r="367" spans="2:3" x14ac:dyDescent="0.25">
      <c r="B367" s="125">
        <f t="shared" si="35"/>
        <v>45613</v>
      </c>
      <c r="C367">
        <f t="shared" si="34"/>
        <v>34</v>
      </c>
    </row>
    <row r="368" spans="2:3" x14ac:dyDescent="0.25">
      <c r="B368" s="125">
        <f t="shared" si="35"/>
        <v>45614</v>
      </c>
      <c r="C368">
        <f t="shared" si="34"/>
        <v>34</v>
      </c>
    </row>
    <row r="369" spans="2:3" x14ac:dyDescent="0.25">
      <c r="B369" s="125">
        <f t="shared" si="35"/>
        <v>45615</v>
      </c>
      <c r="C369">
        <f t="shared" si="34"/>
        <v>34</v>
      </c>
    </row>
    <row r="370" spans="2:3" x14ac:dyDescent="0.25">
      <c r="B370" s="125">
        <f t="shared" si="35"/>
        <v>45616</v>
      </c>
      <c r="C370">
        <f t="shared" si="34"/>
        <v>34</v>
      </c>
    </row>
    <row r="371" spans="2:3" x14ac:dyDescent="0.25">
      <c r="B371" s="125">
        <f t="shared" si="35"/>
        <v>45617</v>
      </c>
      <c r="C371">
        <f t="shared" si="34"/>
        <v>34</v>
      </c>
    </row>
    <row r="372" spans="2:3" x14ac:dyDescent="0.25">
      <c r="B372" s="125">
        <f t="shared" si="35"/>
        <v>45618</v>
      </c>
      <c r="C372">
        <f t="shared" si="34"/>
        <v>34</v>
      </c>
    </row>
    <row r="373" spans="2:3" x14ac:dyDescent="0.25">
      <c r="B373" s="125">
        <f t="shared" si="35"/>
        <v>45619</v>
      </c>
      <c r="C373">
        <f t="shared" si="34"/>
        <v>35</v>
      </c>
    </row>
    <row r="374" spans="2:3" x14ac:dyDescent="0.25">
      <c r="B374" s="125">
        <f t="shared" si="35"/>
        <v>45620</v>
      </c>
      <c r="C374">
        <f t="shared" si="34"/>
        <v>35</v>
      </c>
    </row>
    <row r="375" spans="2:3" x14ac:dyDescent="0.25">
      <c r="B375" s="125">
        <f t="shared" si="35"/>
        <v>45621</v>
      </c>
      <c r="C375">
        <f t="shared" si="34"/>
        <v>35</v>
      </c>
    </row>
    <row r="376" spans="2:3" x14ac:dyDescent="0.25">
      <c r="B376" s="125">
        <f t="shared" si="35"/>
        <v>45622</v>
      </c>
      <c r="C376">
        <f t="shared" si="34"/>
        <v>35</v>
      </c>
    </row>
    <row r="377" spans="2:3" x14ac:dyDescent="0.25">
      <c r="B377" s="125">
        <f t="shared" si="35"/>
        <v>45623</v>
      </c>
      <c r="C377">
        <f t="shared" si="34"/>
        <v>35</v>
      </c>
    </row>
    <row r="378" spans="2:3" x14ac:dyDescent="0.25">
      <c r="B378" s="125">
        <f t="shared" si="35"/>
        <v>45624</v>
      </c>
      <c r="C378">
        <f t="shared" si="34"/>
        <v>35</v>
      </c>
    </row>
    <row r="379" spans="2:3" x14ac:dyDescent="0.25">
      <c r="B379" s="125">
        <f t="shared" si="35"/>
        <v>45625</v>
      </c>
      <c r="C379">
        <f t="shared" si="34"/>
        <v>35</v>
      </c>
    </row>
    <row r="380" spans="2:3" x14ac:dyDescent="0.25">
      <c r="B380" s="125">
        <f t="shared" si="35"/>
        <v>45626</v>
      </c>
      <c r="C380">
        <f t="shared" si="34"/>
        <v>36</v>
      </c>
    </row>
    <row r="381" spans="2:3" x14ac:dyDescent="0.25">
      <c r="B381" s="125">
        <f t="shared" si="35"/>
        <v>45627</v>
      </c>
      <c r="C381">
        <f t="shared" si="34"/>
        <v>36</v>
      </c>
    </row>
    <row r="382" spans="2:3" x14ac:dyDescent="0.25">
      <c r="B382" s="125">
        <f t="shared" si="35"/>
        <v>45628</v>
      </c>
      <c r="C382">
        <f t="shared" si="34"/>
        <v>36</v>
      </c>
    </row>
    <row r="383" spans="2:3" x14ac:dyDescent="0.25">
      <c r="B383" s="125">
        <f t="shared" si="35"/>
        <v>45629</v>
      </c>
      <c r="C383">
        <f t="shared" si="34"/>
        <v>36</v>
      </c>
    </row>
    <row r="384" spans="2:3" x14ac:dyDescent="0.25">
      <c r="B384" s="125">
        <f t="shared" si="35"/>
        <v>45630</v>
      </c>
      <c r="C384">
        <f t="shared" si="34"/>
        <v>36</v>
      </c>
    </row>
    <row r="385" spans="2:3" x14ac:dyDescent="0.25">
      <c r="B385" s="125">
        <f t="shared" si="35"/>
        <v>45631</v>
      </c>
      <c r="C385">
        <f t="shared" si="34"/>
        <v>36</v>
      </c>
    </row>
    <row r="386" spans="2:3" x14ac:dyDescent="0.25">
      <c r="B386" s="125">
        <f t="shared" si="35"/>
        <v>45632</v>
      </c>
      <c r="C386">
        <f t="shared" si="34"/>
        <v>36</v>
      </c>
    </row>
    <row r="387" spans="2:3" x14ac:dyDescent="0.25">
      <c r="B387" s="125">
        <f t="shared" si="35"/>
        <v>45633</v>
      </c>
      <c r="C387">
        <f t="shared" si="34"/>
        <v>37</v>
      </c>
    </row>
    <row r="388" spans="2:3" x14ac:dyDescent="0.25">
      <c r="B388" s="125">
        <f t="shared" si="35"/>
        <v>45634</v>
      </c>
      <c r="C388">
        <f t="shared" si="34"/>
        <v>37</v>
      </c>
    </row>
    <row r="389" spans="2:3" x14ac:dyDescent="0.25">
      <c r="B389" s="125">
        <f t="shared" si="35"/>
        <v>45635</v>
      </c>
      <c r="C389">
        <f t="shared" ref="C389:C452" si="36">C382+1</f>
        <v>37</v>
      </c>
    </row>
    <row r="390" spans="2:3" x14ac:dyDescent="0.25">
      <c r="B390" s="125">
        <f t="shared" si="35"/>
        <v>45636</v>
      </c>
      <c r="C390">
        <f t="shared" si="36"/>
        <v>37</v>
      </c>
    </row>
    <row r="391" spans="2:3" x14ac:dyDescent="0.25">
      <c r="B391" s="125">
        <f t="shared" si="35"/>
        <v>45637</v>
      </c>
      <c r="C391">
        <f t="shared" si="36"/>
        <v>37</v>
      </c>
    </row>
    <row r="392" spans="2:3" x14ac:dyDescent="0.25">
      <c r="B392" s="125">
        <f t="shared" si="35"/>
        <v>45638</v>
      </c>
      <c r="C392">
        <f t="shared" si="36"/>
        <v>37</v>
      </c>
    </row>
    <row r="393" spans="2:3" x14ac:dyDescent="0.25">
      <c r="B393" s="125">
        <f t="shared" ref="B393:B456" si="37">B392+1</f>
        <v>45639</v>
      </c>
      <c r="C393">
        <f t="shared" si="36"/>
        <v>37</v>
      </c>
    </row>
    <row r="394" spans="2:3" x14ac:dyDescent="0.25">
      <c r="B394" s="125">
        <f t="shared" si="37"/>
        <v>45640</v>
      </c>
      <c r="C394">
        <f t="shared" si="36"/>
        <v>38</v>
      </c>
    </row>
    <row r="395" spans="2:3" x14ac:dyDescent="0.25">
      <c r="B395" s="125">
        <f t="shared" si="37"/>
        <v>45641</v>
      </c>
      <c r="C395">
        <f t="shared" si="36"/>
        <v>38</v>
      </c>
    </row>
    <row r="396" spans="2:3" x14ac:dyDescent="0.25">
      <c r="B396" s="125">
        <f t="shared" si="37"/>
        <v>45642</v>
      </c>
      <c r="C396">
        <f t="shared" si="36"/>
        <v>38</v>
      </c>
    </row>
    <row r="397" spans="2:3" x14ac:dyDescent="0.25">
      <c r="B397" s="125">
        <f t="shared" si="37"/>
        <v>45643</v>
      </c>
      <c r="C397">
        <f t="shared" si="36"/>
        <v>38</v>
      </c>
    </row>
    <row r="398" spans="2:3" x14ac:dyDescent="0.25">
      <c r="B398" s="125">
        <f t="shared" si="37"/>
        <v>45644</v>
      </c>
      <c r="C398">
        <f t="shared" si="36"/>
        <v>38</v>
      </c>
    </row>
    <row r="399" spans="2:3" x14ac:dyDescent="0.25">
      <c r="B399" s="125">
        <f t="shared" si="37"/>
        <v>45645</v>
      </c>
      <c r="C399">
        <f t="shared" si="36"/>
        <v>38</v>
      </c>
    </row>
    <row r="400" spans="2:3" x14ac:dyDescent="0.25">
      <c r="B400" s="125">
        <f t="shared" si="37"/>
        <v>45646</v>
      </c>
      <c r="C400">
        <f t="shared" si="36"/>
        <v>38</v>
      </c>
    </row>
    <row r="401" spans="2:3" x14ac:dyDescent="0.25">
      <c r="B401" s="125">
        <f t="shared" si="37"/>
        <v>45647</v>
      </c>
      <c r="C401">
        <f t="shared" si="36"/>
        <v>39</v>
      </c>
    </row>
    <row r="402" spans="2:3" x14ac:dyDescent="0.25">
      <c r="B402" s="125">
        <f t="shared" si="37"/>
        <v>45648</v>
      </c>
      <c r="C402">
        <f t="shared" si="36"/>
        <v>39</v>
      </c>
    </row>
    <row r="403" spans="2:3" x14ac:dyDescent="0.25">
      <c r="B403" s="125">
        <f t="shared" si="37"/>
        <v>45649</v>
      </c>
      <c r="C403">
        <f t="shared" si="36"/>
        <v>39</v>
      </c>
    </row>
    <row r="404" spans="2:3" x14ac:dyDescent="0.25">
      <c r="B404" s="125">
        <f t="shared" si="37"/>
        <v>45650</v>
      </c>
      <c r="C404">
        <f t="shared" si="36"/>
        <v>39</v>
      </c>
    </row>
    <row r="405" spans="2:3" x14ac:dyDescent="0.25">
      <c r="B405" s="125">
        <f t="shared" si="37"/>
        <v>45651</v>
      </c>
      <c r="C405">
        <f t="shared" si="36"/>
        <v>39</v>
      </c>
    </row>
    <row r="406" spans="2:3" x14ac:dyDescent="0.25">
      <c r="B406" s="125">
        <f t="shared" si="37"/>
        <v>45652</v>
      </c>
      <c r="C406">
        <f t="shared" si="36"/>
        <v>39</v>
      </c>
    </row>
    <row r="407" spans="2:3" x14ac:dyDescent="0.25">
      <c r="B407" s="125">
        <f t="shared" si="37"/>
        <v>45653</v>
      </c>
      <c r="C407">
        <f t="shared" si="36"/>
        <v>39</v>
      </c>
    </row>
    <row r="408" spans="2:3" x14ac:dyDescent="0.25">
      <c r="B408" s="125">
        <f t="shared" si="37"/>
        <v>45654</v>
      </c>
      <c r="C408">
        <f t="shared" si="36"/>
        <v>40</v>
      </c>
    </row>
    <row r="409" spans="2:3" x14ac:dyDescent="0.25">
      <c r="B409" s="125">
        <f t="shared" si="37"/>
        <v>45655</v>
      </c>
      <c r="C409">
        <f t="shared" si="36"/>
        <v>40</v>
      </c>
    </row>
    <row r="410" spans="2:3" x14ac:dyDescent="0.25">
      <c r="B410" s="125">
        <f t="shared" si="37"/>
        <v>45656</v>
      </c>
      <c r="C410">
        <f t="shared" si="36"/>
        <v>40</v>
      </c>
    </row>
    <row r="411" spans="2:3" x14ac:dyDescent="0.25">
      <c r="B411" s="125">
        <f t="shared" si="37"/>
        <v>45657</v>
      </c>
      <c r="C411">
        <f t="shared" si="36"/>
        <v>40</v>
      </c>
    </row>
    <row r="412" spans="2:3" x14ac:dyDescent="0.25">
      <c r="B412" s="125">
        <f t="shared" si="37"/>
        <v>45658</v>
      </c>
      <c r="C412">
        <f t="shared" si="36"/>
        <v>40</v>
      </c>
    </row>
    <row r="413" spans="2:3" x14ac:dyDescent="0.25">
      <c r="B413" s="125">
        <f t="shared" si="37"/>
        <v>45659</v>
      </c>
      <c r="C413">
        <f t="shared" si="36"/>
        <v>40</v>
      </c>
    </row>
    <row r="414" spans="2:3" x14ac:dyDescent="0.25">
      <c r="B414" s="125">
        <f t="shared" si="37"/>
        <v>45660</v>
      </c>
      <c r="C414">
        <f t="shared" si="36"/>
        <v>40</v>
      </c>
    </row>
    <row r="415" spans="2:3" x14ac:dyDescent="0.25">
      <c r="B415" s="125">
        <f t="shared" si="37"/>
        <v>45661</v>
      </c>
      <c r="C415">
        <f t="shared" si="36"/>
        <v>41</v>
      </c>
    </row>
    <row r="416" spans="2:3" x14ac:dyDescent="0.25">
      <c r="B416" s="125">
        <f t="shared" si="37"/>
        <v>45662</v>
      </c>
      <c r="C416">
        <f t="shared" si="36"/>
        <v>41</v>
      </c>
    </row>
    <row r="417" spans="2:3" x14ac:dyDescent="0.25">
      <c r="B417" s="125">
        <f t="shared" si="37"/>
        <v>45663</v>
      </c>
      <c r="C417">
        <f t="shared" si="36"/>
        <v>41</v>
      </c>
    </row>
    <row r="418" spans="2:3" x14ac:dyDescent="0.25">
      <c r="B418" s="125">
        <f t="shared" si="37"/>
        <v>45664</v>
      </c>
      <c r="C418">
        <f t="shared" si="36"/>
        <v>41</v>
      </c>
    </row>
    <row r="419" spans="2:3" x14ac:dyDescent="0.25">
      <c r="B419" s="125">
        <f t="shared" si="37"/>
        <v>45665</v>
      </c>
      <c r="C419">
        <f t="shared" si="36"/>
        <v>41</v>
      </c>
    </row>
    <row r="420" spans="2:3" x14ac:dyDescent="0.25">
      <c r="B420" s="125">
        <f t="shared" si="37"/>
        <v>45666</v>
      </c>
      <c r="C420">
        <f t="shared" si="36"/>
        <v>41</v>
      </c>
    </row>
    <row r="421" spans="2:3" x14ac:dyDescent="0.25">
      <c r="B421" s="125">
        <f t="shared" si="37"/>
        <v>45667</v>
      </c>
      <c r="C421">
        <f t="shared" si="36"/>
        <v>41</v>
      </c>
    </row>
    <row r="422" spans="2:3" x14ac:dyDescent="0.25">
      <c r="B422" s="125">
        <f t="shared" si="37"/>
        <v>45668</v>
      </c>
      <c r="C422">
        <f t="shared" si="36"/>
        <v>42</v>
      </c>
    </row>
    <row r="423" spans="2:3" x14ac:dyDescent="0.25">
      <c r="B423" s="125">
        <f t="shared" si="37"/>
        <v>45669</v>
      </c>
      <c r="C423">
        <f t="shared" si="36"/>
        <v>42</v>
      </c>
    </row>
    <row r="424" spans="2:3" x14ac:dyDescent="0.25">
      <c r="B424" s="125">
        <f t="shared" si="37"/>
        <v>45670</v>
      </c>
      <c r="C424">
        <f t="shared" si="36"/>
        <v>42</v>
      </c>
    </row>
    <row r="425" spans="2:3" x14ac:dyDescent="0.25">
      <c r="B425" s="125">
        <f t="shared" si="37"/>
        <v>45671</v>
      </c>
      <c r="C425">
        <f t="shared" si="36"/>
        <v>42</v>
      </c>
    </row>
    <row r="426" spans="2:3" x14ac:dyDescent="0.25">
      <c r="B426" s="125">
        <f t="shared" si="37"/>
        <v>45672</v>
      </c>
      <c r="C426">
        <f t="shared" si="36"/>
        <v>42</v>
      </c>
    </row>
    <row r="427" spans="2:3" x14ac:dyDescent="0.25">
      <c r="B427" s="125">
        <f t="shared" si="37"/>
        <v>45673</v>
      </c>
      <c r="C427">
        <f t="shared" si="36"/>
        <v>42</v>
      </c>
    </row>
    <row r="428" spans="2:3" x14ac:dyDescent="0.25">
      <c r="B428" s="125">
        <f t="shared" si="37"/>
        <v>45674</v>
      </c>
      <c r="C428">
        <f t="shared" si="36"/>
        <v>42</v>
      </c>
    </row>
    <row r="429" spans="2:3" x14ac:dyDescent="0.25">
      <c r="B429" s="125">
        <f t="shared" si="37"/>
        <v>45675</v>
      </c>
      <c r="C429">
        <f t="shared" si="36"/>
        <v>43</v>
      </c>
    </row>
    <row r="430" spans="2:3" x14ac:dyDescent="0.25">
      <c r="B430" s="125">
        <f t="shared" si="37"/>
        <v>45676</v>
      </c>
      <c r="C430">
        <f t="shared" si="36"/>
        <v>43</v>
      </c>
    </row>
    <row r="431" spans="2:3" x14ac:dyDescent="0.25">
      <c r="B431" s="125">
        <f t="shared" si="37"/>
        <v>45677</v>
      </c>
      <c r="C431">
        <f t="shared" si="36"/>
        <v>43</v>
      </c>
    </row>
    <row r="432" spans="2:3" x14ac:dyDescent="0.25">
      <c r="B432" s="125">
        <f t="shared" si="37"/>
        <v>45678</v>
      </c>
      <c r="C432">
        <f t="shared" si="36"/>
        <v>43</v>
      </c>
    </row>
    <row r="433" spans="2:3" x14ac:dyDescent="0.25">
      <c r="B433" s="125">
        <f t="shared" si="37"/>
        <v>45679</v>
      </c>
      <c r="C433">
        <f t="shared" si="36"/>
        <v>43</v>
      </c>
    </row>
    <row r="434" spans="2:3" x14ac:dyDescent="0.25">
      <c r="B434" s="125">
        <f t="shared" si="37"/>
        <v>45680</v>
      </c>
      <c r="C434">
        <f t="shared" si="36"/>
        <v>43</v>
      </c>
    </row>
    <row r="435" spans="2:3" x14ac:dyDescent="0.25">
      <c r="B435" s="125">
        <f t="shared" si="37"/>
        <v>45681</v>
      </c>
      <c r="C435">
        <f t="shared" si="36"/>
        <v>43</v>
      </c>
    </row>
    <row r="436" spans="2:3" x14ac:dyDescent="0.25">
      <c r="B436" s="125">
        <f t="shared" si="37"/>
        <v>45682</v>
      </c>
      <c r="C436">
        <f t="shared" si="36"/>
        <v>44</v>
      </c>
    </row>
    <row r="437" spans="2:3" x14ac:dyDescent="0.25">
      <c r="B437" s="125">
        <f t="shared" si="37"/>
        <v>45683</v>
      </c>
      <c r="C437">
        <f t="shared" si="36"/>
        <v>44</v>
      </c>
    </row>
    <row r="438" spans="2:3" x14ac:dyDescent="0.25">
      <c r="B438" s="125">
        <f t="shared" si="37"/>
        <v>45684</v>
      </c>
      <c r="C438">
        <f t="shared" si="36"/>
        <v>44</v>
      </c>
    </row>
    <row r="439" spans="2:3" x14ac:dyDescent="0.25">
      <c r="B439" s="125">
        <f t="shared" si="37"/>
        <v>45685</v>
      </c>
      <c r="C439">
        <f t="shared" si="36"/>
        <v>44</v>
      </c>
    </row>
    <row r="440" spans="2:3" x14ac:dyDescent="0.25">
      <c r="B440" s="125">
        <f t="shared" si="37"/>
        <v>45686</v>
      </c>
      <c r="C440">
        <f t="shared" si="36"/>
        <v>44</v>
      </c>
    </row>
    <row r="441" spans="2:3" x14ac:dyDescent="0.25">
      <c r="B441" s="125">
        <f t="shared" si="37"/>
        <v>45687</v>
      </c>
      <c r="C441">
        <f t="shared" si="36"/>
        <v>44</v>
      </c>
    </row>
    <row r="442" spans="2:3" x14ac:dyDescent="0.25">
      <c r="B442" s="125">
        <f t="shared" si="37"/>
        <v>45688</v>
      </c>
      <c r="C442">
        <f t="shared" si="36"/>
        <v>44</v>
      </c>
    </row>
    <row r="443" spans="2:3" x14ac:dyDescent="0.25">
      <c r="B443" s="125">
        <f t="shared" si="37"/>
        <v>45689</v>
      </c>
      <c r="C443">
        <f t="shared" si="36"/>
        <v>45</v>
      </c>
    </row>
    <row r="444" spans="2:3" x14ac:dyDescent="0.25">
      <c r="B444" s="125">
        <f t="shared" si="37"/>
        <v>45690</v>
      </c>
      <c r="C444">
        <f t="shared" si="36"/>
        <v>45</v>
      </c>
    </row>
    <row r="445" spans="2:3" x14ac:dyDescent="0.25">
      <c r="B445" s="125">
        <f t="shared" si="37"/>
        <v>45691</v>
      </c>
      <c r="C445">
        <f t="shared" si="36"/>
        <v>45</v>
      </c>
    </row>
    <row r="446" spans="2:3" x14ac:dyDescent="0.25">
      <c r="B446" s="125">
        <f t="shared" si="37"/>
        <v>45692</v>
      </c>
      <c r="C446">
        <f t="shared" si="36"/>
        <v>45</v>
      </c>
    </row>
    <row r="447" spans="2:3" x14ac:dyDescent="0.25">
      <c r="B447" s="125">
        <f t="shared" si="37"/>
        <v>45693</v>
      </c>
      <c r="C447">
        <f t="shared" si="36"/>
        <v>45</v>
      </c>
    </row>
    <row r="448" spans="2:3" x14ac:dyDescent="0.25">
      <c r="B448" s="125">
        <f t="shared" si="37"/>
        <v>45694</v>
      </c>
      <c r="C448">
        <f t="shared" si="36"/>
        <v>45</v>
      </c>
    </row>
    <row r="449" spans="2:3" x14ac:dyDescent="0.25">
      <c r="B449" s="125">
        <f t="shared" si="37"/>
        <v>45695</v>
      </c>
      <c r="C449">
        <f t="shared" si="36"/>
        <v>45</v>
      </c>
    </row>
    <row r="450" spans="2:3" x14ac:dyDescent="0.25">
      <c r="B450" s="125">
        <f t="shared" si="37"/>
        <v>45696</v>
      </c>
      <c r="C450">
        <f t="shared" si="36"/>
        <v>46</v>
      </c>
    </row>
    <row r="451" spans="2:3" x14ac:dyDescent="0.25">
      <c r="B451" s="125">
        <f t="shared" si="37"/>
        <v>45697</v>
      </c>
      <c r="C451">
        <f t="shared" si="36"/>
        <v>46</v>
      </c>
    </row>
    <row r="452" spans="2:3" x14ac:dyDescent="0.25">
      <c r="B452" s="125">
        <f t="shared" si="37"/>
        <v>45698</v>
      </c>
      <c r="C452">
        <f t="shared" si="36"/>
        <v>46</v>
      </c>
    </row>
    <row r="453" spans="2:3" x14ac:dyDescent="0.25">
      <c r="B453" s="125">
        <f t="shared" si="37"/>
        <v>45699</v>
      </c>
      <c r="C453">
        <f t="shared" ref="C453:C505" si="38">C446+1</f>
        <v>46</v>
      </c>
    </row>
    <row r="454" spans="2:3" x14ac:dyDescent="0.25">
      <c r="B454" s="125">
        <f t="shared" si="37"/>
        <v>45700</v>
      </c>
      <c r="C454">
        <f t="shared" si="38"/>
        <v>46</v>
      </c>
    </row>
    <row r="455" spans="2:3" x14ac:dyDescent="0.25">
      <c r="B455" s="125">
        <f t="shared" si="37"/>
        <v>45701</v>
      </c>
      <c r="C455">
        <f t="shared" si="38"/>
        <v>46</v>
      </c>
    </row>
    <row r="456" spans="2:3" x14ac:dyDescent="0.25">
      <c r="B456" s="125">
        <f t="shared" si="37"/>
        <v>45702</v>
      </c>
      <c r="C456">
        <f t="shared" si="38"/>
        <v>46</v>
      </c>
    </row>
    <row r="457" spans="2:3" x14ac:dyDescent="0.25">
      <c r="B457" s="125">
        <f t="shared" ref="B457:B505" si="39">B456+1</f>
        <v>45703</v>
      </c>
      <c r="C457">
        <f t="shared" si="38"/>
        <v>47</v>
      </c>
    </row>
    <row r="458" spans="2:3" x14ac:dyDescent="0.25">
      <c r="B458" s="125">
        <f t="shared" si="39"/>
        <v>45704</v>
      </c>
      <c r="C458">
        <f t="shared" si="38"/>
        <v>47</v>
      </c>
    </row>
    <row r="459" spans="2:3" x14ac:dyDescent="0.25">
      <c r="B459" s="125">
        <f t="shared" si="39"/>
        <v>45705</v>
      </c>
      <c r="C459">
        <f t="shared" si="38"/>
        <v>47</v>
      </c>
    </row>
    <row r="460" spans="2:3" x14ac:dyDescent="0.25">
      <c r="B460" s="125">
        <f t="shared" si="39"/>
        <v>45706</v>
      </c>
      <c r="C460">
        <f t="shared" si="38"/>
        <v>47</v>
      </c>
    </row>
    <row r="461" spans="2:3" x14ac:dyDescent="0.25">
      <c r="B461" s="125">
        <f t="shared" si="39"/>
        <v>45707</v>
      </c>
      <c r="C461">
        <f t="shared" si="38"/>
        <v>47</v>
      </c>
    </row>
    <row r="462" spans="2:3" x14ac:dyDescent="0.25">
      <c r="B462" s="125">
        <f t="shared" si="39"/>
        <v>45708</v>
      </c>
      <c r="C462">
        <f t="shared" si="38"/>
        <v>47</v>
      </c>
    </row>
    <row r="463" spans="2:3" x14ac:dyDescent="0.25">
      <c r="B463" s="125">
        <f t="shared" si="39"/>
        <v>45709</v>
      </c>
      <c r="C463">
        <f t="shared" si="38"/>
        <v>47</v>
      </c>
    </row>
    <row r="464" spans="2:3" x14ac:dyDescent="0.25">
      <c r="B464" s="125">
        <f t="shared" si="39"/>
        <v>45710</v>
      </c>
      <c r="C464">
        <f t="shared" si="38"/>
        <v>48</v>
      </c>
    </row>
    <row r="465" spans="2:3" x14ac:dyDescent="0.25">
      <c r="B465" s="125">
        <f t="shared" si="39"/>
        <v>45711</v>
      </c>
      <c r="C465">
        <f t="shared" si="38"/>
        <v>48</v>
      </c>
    </row>
    <row r="466" spans="2:3" x14ac:dyDescent="0.25">
      <c r="B466" s="125">
        <f t="shared" si="39"/>
        <v>45712</v>
      </c>
      <c r="C466">
        <f t="shared" si="38"/>
        <v>48</v>
      </c>
    </row>
    <row r="467" spans="2:3" x14ac:dyDescent="0.25">
      <c r="B467" s="125">
        <f t="shared" si="39"/>
        <v>45713</v>
      </c>
      <c r="C467">
        <f t="shared" si="38"/>
        <v>48</v>
      </c>
    </row>
    <row r="468" spans="2:3" x14ac:dyDescent="0.25">
      <c r="B468" s="125">
        <f t="shared" si="39"/>
        <v>45714</v>
      </c>
      <c r="C468">
        <f t="shared" si="38"/>
        <v>48</v>
      </c>
    </row>
    <row r="469" spans="2:3" x14ac:dyDescent="0.25">
      <c r="B469" s="125">
        <f t="shared" si="39"/>
        <v>45715</v>
      </c>
      <c r="C469">
        <f t="shared" si="38"/>
        <v>48</v>
      </c>
    </row>
    <row r="470" spans="2:3" x14ac:dyDescent="0.25">
      <c r="B470" s="125">
        <f t="shared" si="39"/>
        <v>45716</v>
      </c>
      <c r="C470">
        <f t="shared" si="38"/>
        <v>48</v>
      </c>
    </row>
    <row r="471" spans="2:3" x14ac:dyDescent="0.25">
      <c r="B471" s="125">
        <f t="shared" si="39"/>
        <v>45717</v>
      </c>
      <c r="C471">
        <f t="shared" si="38"/>
        <v>49</v>
      </c>
    </row>
    <row r="472" spans="2:3" x14ac:dyDescent="0.25">
      <c r="B472" s="125">
        <f t="shared" si="39"/>
        <v>45718</v>
      </c>
      <c r="C472">
        <f t="shared" si="38"/>
        <v>49</v>
      </c>
    </row>
    <row r="473" spans="2:3" x14ac:dyDescent="0.25">
      <c r="B473" s="125">
        <f t="shared" si="39"/>
        <v>45719</v>
      </c>
      <c r="C473">
        <f t="shared" si="38"/>
        <v>49</v>
      </c>
    </row>
    <row r="474" spans="2:3" x14ac:dyDescent="0.25">
      <c r="B474" s="125">
        <f t="shared" si="39"/>
        <v>45720</v>
      </c>
      <c r="C474">
        <f t="shared" si="38"/>
        <v>49</v>
      </c>
    </row>
    <row r="475" spans="2:3" x14ac:dyDescent="0.25">
      <c r="B475" s="125">
        <f t="shared" si="39"/>
        <v>45721</v>
      </c>
      <c r="C475">
        <f t="shared" si="38"/>
        <v>49</v>
      </c>
    </row>
    <row r="476" spans="2:3" x14ac:dyDescent="0.25">
      <c r="B476" s="125">
        <f t="shared" si="39"/>
        <v>45722</v>
      </c>
      <c r="C476">
        <f t="shared" si="38"/>
        <v>49</v>
      </c>
    </row>
    <row r="477" spans="2:3" x14ac:dyDescent="0.25">
      <c r="B477" s="125">
        <f t="shared" si="39"/>
        <v>45723</v>
      </c>
      <c r="C477">
        <f t="shared" si="38"/>
        <v>49</v>
      </c>
    </row>
    <row r="478" spans="2:3" x14ac:dyDescent="0.25">
      <c r="B478" s="125">
        <f t="shared" si="39"/>
        <v>45724</v>
      </c>
      <c r="C478">
        <f t="shared" si="38"/>
        <v>50</v>
      </c>
    </row>
    <row r="479" spans="2:3" x14ac:dyDescent="0.25">
      <c r="B479" s="125">
        <f t="shared" si="39"/>
        <v>45725</v>
      </c>
      <c r="C479">
        <f t="shared" si="38"/>
        <v>50</v>
      </c>
    </row>
    <row r="480" spans="2:3" x14ac:dyDescent="0.25">
      <c r="B480" s="125">
        <f t="shared" si="39"/>
        <v>45726</v>
      </c>
      <c r="C480">
        <f t="shared" si="38"/>
        <v>50</v>
      </c>
    </row>
    <row r="481" spans="2:3" x14ac:dyDescent="0.25">
      <c r="B481" s="125">
        <f t="shared" si="39"/>
        <v>45727</v>
      </c>
      <c r="C481">
        <f t="shared" si="38"/>
        <v>50</v>
      </c>
    </row>
    <row r="482" spans="2:3" x14ac:dyDescent="0.25">
      <c r="B482" s="125">
        <f t="shared" si="39"/>
        <v>45728</v>
      </c>
      <c r="C482">
        <f t="shared" si="38"/>
        <v>50</v>
      </c>
    </row>
    <row r="483" spans="2:3" x14ac:dyDescent="0.25">
      <c r="B483" s="125">
        <f t="shared" si="39"/>
        <v>45729</v>
      </c>
      <c r="C483">
        <f t="shared" si="38"/>
        <v>50</v>
      </c>
    </row>
    <row r="484" spans="2:3" x14ac:dyDescent="0.25">
      <c r="B484" s="125">
        <f t="shared" si="39"/>
        <v>45730</v>
      </c>
      <c r="C484">
        <f t="shared" si="38"/>
        <v>50</v>
      </c>
    </row>
    <row r="485" spans="2:3" x14ac:dyDescent="0.25">
      <c r="B485" s="125">
        <f t="shared" si="39"/>
        <v>45731</v>
      </c>
      <c r="C485">
        <f t="shared" si="38"/>
        <v>51</v>
      </c>
    </row>
    <row r="486" spans="2:3" x14ac:dyDescent="0.25">
      <c r="B486" s="125">
        <f t="shared" si="39"/>
        <v>45732</v>
      </c>
      <c r="C486">
        <f t="shared" si="38"/>
        <v>51</v>
      </c>
    </row>
    <row r="487" spans="2:3" x14ac:dyDescent="0.25">
      <c r="B487" s="125">
        <f t="shared" si="39"/>
        <v>45733</v>
      </c>
      <c r="C487">
        <f t="shared" si="38"/>
        <v>51</v>
      </c>
    </row>
    <row r="488" spans="2:3" x14ac:dyDescent="0.25">
      <c r="B488" s="125">
        <f t="shared" si="39"/>
        <v>45734</v>
      </c>
      <c r="C488">
        <f t="shared" si="38"/>
        <v>51</v>
      </c>
    </row>
    <row r="489" spans="2:3" x14ac:dyDescent="0.25">
      <c r="B489" s="125">
        <f t="shared" si="39"/>
        <v>45735</v>
      </c>
      <c r="C489">
        <f t="shared" si="38"/>
        <v>51</v>
      </c>
    </row>
    <row r="490" spans="2:3" x14ac:dyDescent="0.25">
      <c r="B490" s="125">
        <f t="shared" si="39"/>
        <v>45736</v>
      </c>
      <c r="C490">
        <f t="shared" si="38"/>
        <v>51</v>
      </c>
    </row>
    <row r="491" spans="2:3" x14ac:dyDescent="0.25">
      <c r="B491" s="125">
        <f t="shared" si="39"/>
        <v>45737</v>
      </c>
      <c r="C491">
        <f t="shared" si="38"/>
        <v>51</v>
      </c>
    </row>
    <row r="492" spans="2:3" x14ac:dyDescent="0.25">
      <c r="B492" s="125">
        <f t="shared" si="39"/>
        <v>45738</v>
      </c>
      <c r="C492">
        <f t="shared" si="38"/>
        <v>52</v>
      </c>
    </row>
    <row r="493" spans="2:3" x14ac:dyDescent="0.25">
      <c r="B493" s="125">
        <f t="shared" si="39"/>
        <v>45739</v>
      </c>
      <c r="C493">
        <f t="shared" si="38"/>
        <v>52</v>
      </c>
    </row>
    <row r="494" spans="2:3" x14ac:dyDescent="0.25">
      <c r="B494" s="125">
        <f t="shared" si="39"/>
        <v>45740</v>
      </c>
      <c r="C494">
        <f t="shared" si="38"/>
        <v>52</v>
      </c>
    </row>
    <row r="495" spans="2:3" x14ac:dyDescent="0.25">
      <c r="B495" s="125">
        <f t="shared" si="39"/>
        <v>45741</v>
      </c>
      <c r="C495">
        <f t="shared" si="38"/>
        <v>52</v>
      </c>
    </row>
    <row r="496" spans="2:3" x14ac:dyDescent="0.25">
      <c r="B496" s="125">
        <f t="shared" si="39"/>
        <v>45742</v>
      </c>
      <c r="C496">
        <f t="shared" si="38"/>
        <v>52</v>
      </c>
    </row>
    <row r="497" spans="2:3" x14ac:dyDescent="0.25">
      <c r="B497" s="125">
        <f t="shared" si="39"/>
        <v>45743</v>
      </c>
      <c r="C497">
        <f t="shared" si="38"/>
        <v>52</v>
      </c>
    </row>
    <row r="498" spans="2:3" x14ac:dyDescent="0.25">
      <c r="B498" s="125">
        <f t="shared" si="39"/>
        <v>45744</v>
      </c>
      <c r="C498">
        <f t="shared" si="38"/>
        <v>52</v>
      </c>
    </row>
    <row r="499" spans="2:3" x14ac:dyDescent="0.25">
      <c r="B499" s="125">
        <f t="shared" si="39"/>
        <v>45745</v>
      </c>
      <c r="C499">
        <f t="shared" si="38"/>
        <v>53</v>
      </c>
    </row>
    <row r="500" spans="2:3" x14ac:dyDescent="0.25">
      <c r="B500" s="125">
        <f t="shared" si="39"/>
        <v>45746</v>
      </c>
      <c r="C500">
        <f t="shared" si="38"/>
        <v>53</v>
      </c>
    </row>
    <row r="501" spans="2:3" x14ac:dyDescent="0.25">
      <c r="B501" s="125">
        <f t="shared" si="39"/>
        <v>45747</v>
      </c>
      <c r="C501">
        <f t="shared" si="38"/>
        <v>53</v>
      </c>
    </row>
    <row r="502" spans="2:3" x14ac:dyDescent="0.25">
      <c r="B502" s="125">
        <f t="shared" si="39"/>
        <v>45748</v>
      </c>
      <c r="C502">
        <f t="shared" si="38"/>
        <v>53</v>
      </c>
    </row>
    <row r="503" spans="2:3" x14ac:dyDescent="0.25">
      <c r="B503" s="125">
        <f t="shared" si="39"/>
        <v>45749</v>
      </c>
      <c r="C503">
        <f t="shared" si="38"/>
        <v>53</v>
      </c>
    </row>
    <row r="504" spans="2:3" x14ac:dyDescent="0.25">
      <c r="B504" s="125">
        <f t="shared" si="39"/>
        <v>45750</v>
      </c>
      <c r="C504">
        <f t="shared" si="38"/>
        <v>53</v>
      </c>
    </row>
    <row r="505" spans="2:3" x14ac:dyDescent="0.25">
      <c r="B505" s="125">
        <f t="shared" si="39"/>
        <v>45751</v>
      </c>
      <c r="C505">
        <f t="shared" si="38"/>
        <v>53</v>
      </c>
    </row>
  </sheetData>
  <autoFilter ref="B101:F132" xr:uid="{9C1AA141-F99E-406D-84BA-2306BFB96B09}">
    <sortState xmlns:xlrd2="http://schemas.microsoft.com/office/spreadsheetml/2017/richdata2" ref="B102:F132">
      <sortCondition ref="B101:B132"/>
    </sortState>
  </autoFilter>
  <phoneticPr fontId="10" type="noConversion"/>
  <conditionalFormatting sqref="I16:BM16">
    <cfRule type="cellIs" dxfId="1" priority="5" operator="less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D83D-9355-4A5C-B198-82318B0D8DD5}">
  <dimension ref="A1:B371"/>
  <sheetViews>
    <sheetView workbookViewId="0">
      <selection sqref="A1:A371"/>
    </sheetView>
  </sheetViews>
  <sheetFormatPr defaultRowHeight="15" x14ac:dyDescent="0.25"/>
  <cols>
    <col min="1" max="1" width="10.7109375" bestFit="1" customWidth="1"/>
  </cols>
  <sheetData>
    <row r="1" spans="1:2" x14ac:dyDescent="0.25">
      <c r="A1" s="125">
        <v>46109</v>
      </c>
      <c r="B1" s="126">
        <v>1</v>
      </c>
    </row>
    <row r="2" spans="1:2" x14ac:dyDescent="0.25">
      <c r="A2" s="125">
        <v>46110</v>
      </c>
      <c r="B2" s="126">
        <v>1</v>
      </c>
    </row>
    <row r="3" spans="1:2" x14ac:dyDescent="0.25">
      <c r="A3" s="125">
        <v>46111</v>
      </c>
      <c r="B3" s="126">
        <v>1</v>
      </c>
    </row>
    <row r="4" spans="1:2" x14ac:dyDescent="0.25">
      <c r="A4" s="125">
        <v>46112</v>
      </c>
      <c r="B4" s="126">
        <v>1</v>
      </c>
    </row>
    <row r="5" spans="1:2" x14ac:dyDescent="0.25">
      <c r="A5" s="125">
        <v>46113</v>
      </c>
      <c r="B5" s="126">
        <v>1</v>
      </c>
    </row>
    <row r="6" spans="1:2" x14ac:dyDescent="0.25">
      <c r="A6" s="125">
        <v>46114</v>
      </c>
      <c r="B6" s="126">
        <v>1</v>
      </c>
    </row>
    <row r="7" spans="1:2" x14ac:dyDescent="0.25">
      <c r="A7" s="125">
        <v>46115</v>
      </c>
      <c r="B7" s="126">
        <v>1</v>
      </c>
    </row>
    <row r="8" spans="1:2" x14ac:dyDescent="0.25">
      <c r="A8" s="125">
        <v>46116</v>
      </c>
      <c r="B8">
        <f t="shared" ref="B8:B53" si="0">B1+1</f>
        <v>2</v>
      </c>
    </row>
    <row r="9" spans="1:2" x14ac:dyDescent="0.25">
      <c r="A9" s="125">
        <v>46117</v>
      </c>
      <c r="B9">
        <f t="shared" si="0"/>
        <v>2</v>
      </c>
    </row>
    <row r="10" spans="1:2" x14ac:dyDescent="0.25">
      <c r="A10" s="125">
        <v>46118</v>
      </c>
      <c r="B10">
        <f t="shared" si="0"/>
        <v>2</v>
      </c>
    </row>
    <row r="11" spans="1:2" x14ac:dyDescent="0.25">
      <c r="A11" s="125">
        <v>46119</v>
      </c>
      <c r="B11">
        <f t="shared" si="0"/>
        <v>2</v>
      </c>
    </row>
    <row r="12" spans="1:2" x14ac:dyDescent="0.25">
      <c r="A12" s="125">
        <v>46120</v>
      </c>
      <c r="B12">
        <f t="shared" si="0"/>
        <v>2</v>
      </c>
    </row>
    <row r="13" spans="1:2" x14ac:dyDescent="0.25">
      <c r="A13" s="125">
        <v>46121</v>
      </c>
      <c r="B13">
        <f t="shared" si="0"/>
        <v>2</v>
      </c>
    </row>
    <row r="14" spans="1:2" x14ac:dyDescent="0.25">
      <c r="A14" s="125">
        <v>46122</v>
      </c>
      <c r="B14">
        <f t="shared" si="0"/>
        <v>2</v>
      </c>
    </row>
    <row r="15" spans="1:2" x14ac:dyDescent="0.25">
      <c r="A15" s="125">
        <v>46123</v>
      </c>
      <c r="B15">
        <f t="shared" si="0"/>
        <v>3</v>
      </c>
    </row>
    <row r="16" spans="1:2" x14ac:dyDescent="0.25">
      <c r="A16" s="125">
        <v>46124</v>
      </c>
      <c r="B16">
        <f t="shared" si="0"/>
        <v>3</v>
      </c>
    </row>
    <row r="17" spans="1:2" x14ac:dyDescent="0.25">
      <c r="A17" s="125">
        <v>46125</v>
      </c>
      <c r="B17">
        <f t="shared" si="0"/>
        <v>3</v>
      </c>
    </row>
    <row r="18" spans="1:2" x14ac:dyDescent="0.25">
      <c r="A18" s="125">
        <v>46126</v>
      </c>
      <c r="B18">
        <f t="shared" si="0"/>
        <v>3</v>
      </c>
    </row>
    <row r="19" spans="1:2" x14ac:dyDescent="0.25">
      <c r="A19" s="125">
        <v>46127</v>
      </c>
      <c r="B19">
        <f t="shared" si="0"/>
        <v>3</v>
      </c>
    </row>
    <row r="20" spans="1:2" x14ac:dyDescent="0.25">
      <c r="A20" s="125">
        <v>46128</v>
      </c>
      <c r="B20">
        <f t="shared" si="0"/>
        <v>3</v>
      </c>
    </row>
    <row r="21" spans="1:2" x14ac:dyDescent="0.25">
      <c r="A21" s="125">
        <v>46129</v>
      </c>
      <c r="B21">
        <f t="shared" si="0"/>
        <v>3</v>
      </c>
    </row>
    <row r="22" spans="1:2" x14ac:dyDescent="0.25">
      <c r="A22" s="125">
        <v>46130</v>
      </c>
      <c r="B22">
        <f t="shared" si="0"/>
        <v>4</v>
      </c>
    </row>
    <row r="23" spans="1:2" x14ac:dyDescent="0.25">
      <c r="A23" s="125">
        <v>46131</v>
      </c>
      <c r="B23">
        <f t="shared" si="0"/>
        <v>4</v>
      </c>
    </row>
    <row r="24" spans="1:2" x14ac:dyDescent="0.25">
      <c r="A24" s="125">
        <v>46132</v>
      </c>
      <c r="B24">
        <f t="shared" si="0"/>
        <v>4</v>
      </c>
    </row>
    <row r="25" spans="1:2" x14ac:dyDescent="0.25">
      <c r="A25" s="125">
        <v>46133</v>
      </c>
      <c r="B25">
        <f t="shared" si="0"/>
        <v>4</v>
      </c>
    </row>
    <row r="26" spans="1:2" x14ac:dyDescent="0.25">
      <c r="A26" s="125">
        <v>46134</v>
      </c>
      <c r="B26">
        <f t="shared" si="0"/>
        <v>4</v>
      </c>
    </row>
    <row r="27" spans="1:2" x14ac:dyDescent="0.25">
      <c r="A27" s="125">
        <v>46135</v>
      </c>
      <c r="B27">
        <f t="shared" si="0"/>
        <v>4</v>
      </c>
    </row>
    <row r="28" spans="1:2" x14ac:dyDescent="0.25">
      <c r="A28" s="125">
        <v>46136</v>
      </c>
      <c r="B28">
        <f t="shared" si="0"/>
        <v>4</v>
      </c>
    </row>
    <row r="29" spans="1:2" x14ac:dyDescent="0.25">
      <c r="A29" s="125">
        <v>46137</v>
      </c>
      <c r="B29">
        <f t="shared" si="0"/>
        <v>5</v>
      </c>
    </row>
    <row r="30" spans="1:2" x14ac:dyDescent="0.25">
      <c r="A30" s="125">
        <v>46138</v>
      </c>
      <c r="B30">
        <f t="shared" si="0"/>
        <v>5</v>
      </c>
    </row>
    <row r="31" spans="1:2" x14ac:dyDescent="0.25">
      <c r="A31" s="125">
        <v>46139</v>
      </c>
      <c r="B31">
        <f t="shared" si="0"/>
        <v>5</v>
      </c>
    </row>
    <row r="32" spans="1:2" x14ac:dyDescent="0.25">
      <c r="A32" s="125">
        <v>46140</v>
      </c>
      <c r="B32">
        <f t="shared" si="0"/>
        <v>5</v>
      </c>
    </row>
    <row r="33" spans="1:2" x14ac:dyDescent="0.25">
      <c r="A33" s="125">
        <v>46141</v>
      </c>
      <c r="B33">
        <f t="shared" si="0"/>
        <v>5</v>
      </c>
    </row>
    <row r="34" spans="1:2" x14ac:dyDescent="0.25">
      <c r="A34" s="125">
        <v>46142</v>
      </c>
      <c r="B34">
        <f t="shared" si="0"/>
        <v>5</v>
      </c>
    </row>
    <row r="35" spans="1:2" x14ac:dyDescent="0.25">
      <c r="A35" s="125">
        <v>46143</v>
      </c>
      <c r="B35">
        <f t="shared" si="0"/>
        <v>5</v>
      </c>
    </row>
    <row r="36" spans="1:2" x14ac:dyDescent="0.25">
      <c r="A36" s="125">
        <v>46144</v>
      </c>
      <c r="B36">
        <f t="shared" si="0"/>
        <v>6</v>
      </c>
    </row>
    <row r="37" spans="1:2" x14ac:dyDescent="0.25">
      <c r="A37" s="125">
        <v>46145</v>
      </c>
      <c r="B37">
        <f>B30+1</f>
        <v>6</v>
      </c>
    </row>
    <row r="38" spans="1:2" x14ac:dyDescent="0.25">
      <c r="A38" s="125">
        <v>46146</v>
      </c>
      <c r="B38">
        <f t="shared" si="0"/>
        <v>6</v>
      </c>
    </row>
    <row r="39" spans="1:2" x14ac:dyDescent="0.25">
      <c r="A39" s="125">
        <v>46147</v>
      </c>
      <c r="B39">
        <f t="shared" si="0"/>
        <v>6</v>
      </c>
    </row>
    <row r="40" spans="1:2" x14ac:dyDescent="0.25">
      <c r="A40" s="125">
        <v>46148</v>
      </c>
      <c r="B40">
        <f t="shared" si="0"/>
        <v>6</v>
      </c>
    </row>
    <row r="41" spans="1:2" x14ac:dyDescent="0.25">
      <c r="A41" s="125">
        <v>46149</v>
      </c>
      <c r="B41">
        <f t="shared" si="0"/>
        <v>6</v>
      </c>
    </row>
    <row r="42" spans="1:2" x14ac:dyDescent="0.25">
      <c r="A42" s="125">
        <v>46150</v>
      </c>
      <c r="B42">
        <f t="shared" si="0"/>
        <v>6</v>
      </c>
    </row>
    <row r="43" spans="1:2" x14ac:dyDescent="0.25">
      <c r="A43" s="125">
        <v>46151</v>
      </c>
      <c r="B43">
        <f t="shared" si="0"/>
        <v>7</v>
      </c>
    </row>
    <row r="44" spans="1:2" x14ac:dyDescent="0.25">
      <c r="A44" s="125">
        <v>46152</v>
      </c>
      <c r="B44">
        <f t="shared" si="0"/>
        <v>7</v>
      </c>
    </row>
    <row r="45" spans="1:2" x14ac:dyDescent="0.25">
      <c r="A45" s="125">
        <v>46153</v>
      </c>
      <c r="B45">
        <f t="shared" si="0"/>
        <v>7</v>
      </c>
    </row>
    <row r="46" spans="1:2" x14ac:dyDescent="0.25">
      <c r="A46" s="125">
        <v>46154</v>
      </c>
      <c r="B46">
        <f t="shared" si="0"/>
        <v>7</v>
      </c>
    </row>
    <row r="47" spans="1:2" x14ac:dyDescent="0.25">
      <c r="A47" s="125">
        <v>46155</v>
      </c>
      <c r="B47">
        <f>B40+1</f>
        <v>7</v>
      </c>
    </row>
    <row r="48" spans="1:2" x14ac:dyDescent="0.25">
      <c r="A48" s="125">
        <v>46156</v>
      </c>
      <c r="B48">
        <f>B41+1</f>
        <v>7</v>
      </c>
    </row>
    <row r="49" spans="1:2" x14ac:dyDescent="0.25">
      <c r="A49" s="125">
        <v>46157</v>
      </c>
      <c r="B49">
        <f>B42+1</f>
        <v>7</v>
      </c>
    </row>
    <row r="50" spans="1:2" x14ac:dyDescent="0.25">
      <c r="A50" s="125">
        <v>46158</v>
      </c>
      <c r="B50">
        <f>B43+1</f>
        <v>8</v>
      </c>
    </row>
    <row r="51" spans="1:2" x14ac:dyDescent="0.25">
      <c r="A51" s="125">
        <v>46159</v>
      </c>
      <c r="B51">
        <f t="shared" si="0"/>
        <v>8</v>
      </c>
    </row>
    <row r="52" spans="1:2" x14ac:dyDescent="0.25">
      <c r="A52" s="125">
        <v>46160</v>
      </c>
      <c r="B52">
        <f t="shared" si="0"/>
        <v>8</v>
      </c>
    </row>
    <row r="53" spans="1:2" x14ac:dyDescent="0.25">
      <c r="A53" s="125">
        <v>46161</v>
      </c>
      <c r="B53">
        <f t="shared" si="0"/>
        <v>8</v>
      </c>
    </row>
    <row r="54" spans="1:2" x14ac:dyDescent="0.25">
      <c r="A54" s="125">
        <v>46162</v>
      </c>
      <c r="B54">
        <f>B47+1</f>
        <v>8</v>
      </c>
    </row>
    <row r="55" spans="1:2" x14ac:dyDescent="0.25">
      <c r="A55" s="125">
        <v>46163</v>
      </c>
      <c r="B55">
        <v>8</v>
      </c>
    </row>
    <row r="56" spans="1:2" x14ac:dyDescent="0.25">
      <c r="A56" s="125">
        <v>46164</v>
      </c>
      <c r="B56">
        <v>8</v>
      </c>
    </row>
    <row r="57" spans="1:2" x14ac:dyDescent="0.25">
      <c r="A57" s="125">
        <v>46165</v>
      </c>
      <c r="B57">
        <v>9</v>
      </c>
    </row>
    <row r="58" spans="1:2" x14ac:dyDescent="0.25">
      <c r="A58" s="125">
        <v>46166</v>
      </c>
      <c r="B58">
        <v>9</v>
      </c>
    </row>
    <row r="59" spans="1:2" x14ac:dyDescent="0.25">
      <c r="A59" s="125">
        <v>46167</v>
      </c>
      <c r="B59">
        <v>9</v>
      </c>
    </row>
    <row r="60" spans="1:2" x14ac:dyDescent="0.25">
      <c r="A60" s="125">
        <v>46168</v>
      </c>
      <c r="B60">
        <v>9</v>
      </c>
    </row>
    <row r="61" spans="1:2" x14ac:dyDescent="0.25">
      <c r="A61" s="125">
        <v>46169</v>
      </c>
      <c r="B61">
        <v>9</v>
      </c>
    </row>
    <row r="62" spans="1:2" x14ac:dyDescent="0.25">
      <c r="A62" s="125">
        <v>46170</v>
      </c>
      <c r="B62">
        <v>9</v>
      </c>
    </row>
    <row r="63" spans="1:2" x14ac:dyDescent="0.25">
      <c r="A63" s="125">
        <v>46171</v>
      </c>
      <c r="B63">
        <v>9</v>
      </c>
    </row>
    <row r="64" spans="1:2" x14ac:dyDescent="0.25">
      <c r="A64" s="125">
        <v>46172</v>
      </c>
      <c r="B64">
        <v>10</v>
      </c>
    </row>
    <row r="65" spans="1:2" x14ac:dyDescent="0.25">
      <c r="A65" s="125">
        <v>46173</v>
      </c>
      <c r="B65">
        <v>10</v>
      </c>
    </row>
    <row r="66" spans="1:2" x14ac:dyDescent="0.25">
      <c r="A66" s="125">
        <v>46174</v>
      </c>
      <c r="B66">
        <v>10</v>
      </c>
    </row>
    <row r="67" spans="1:2" x14ac:dyDescent="0.25">
      <c r="A67" s="125">
        <v>46175</v>
      </c>
      <c r="B67">
        <v>10</v>
      </c>
    </row>
    <row r="68" spans="1:2" x14ac:dyDescent="0.25">
      <c r="A68" s="125">
        <v>46176</v>
      </c>
      <c r="B68">
        <v>10</v>
      </c>
    </row>
    <row r="69" spans="1:2" x14ac:dyDescent="0.25">
      <c r="A69" s="125">
        <v>46177</v>
      </c>
      <c r="B69">
        <v>10</v>
      </c>
    </row>
    <row r="70" spans="1:2" x14ac:dyDescent="0.25">
      <c r="A70" s="125">
        <v>46178</v>
      </c>
      <c r="B70">
        <v>10</v>
      </c>
    </row>
    <row r="71" spans="1:2" x14ac:dyDescent="0.25">
      <c r="A71" s="125">
        <v>46179</v>
      </c>
      <c r="B71">
        <v>11</v>
      </c>
    </row>
    <row r="72" spans="1:2" x14ac:dyDescent="0.25">
      <c r="A72" s="125">
        <v>46180</v>
      </c>
      <c r="B72">
        <v>11</v>
      </c>
    </row>
    <row r="73" spans="1:2" x14ac:dyDescent="0.25">
      <c r="A73" s="125">
        <v>46181</v>
      </c>
      <c r="B73">
        <v>11</v>
      </c>
    </row>
    <row r="74" spans="1:2" x14ac:dyDescent="0.25">
      <c r="A74" s="125">
        <v>46182</v>
      </c>
      <c r="B74">
        <v>11</v>
      </c>
    </row>
    <row r="75" spans="1:2" x14ac:dyDescent="0.25">
      <c r="A75" s="125">
        <v>46183</v>
      </c>
      <c r="B75">
        <v>11</v>
      </c>
    </row>
    <row r="76" spans="1:2" x14ac:dyDescent="0.25">
      <c r="A76" s="125">
        <v>46184</v>
      </c>
      <c r="B76">
        <v>11</v>
      </c>
    </row>
    <row r="77" spans="1:2" x14ac:dyDescent="0.25">
      <c r="A77" s="125">
        <v>46185</v>
      </c>
      <c r="B77">
        <v>11</v>
      </c>
    </row>
    <row r="78" spans="1:2" x14ac:dyDescent="0.25">
      <c r="A78" s="125">
        <v>46186</v>
      </c>
      <c r="B78">
        <v>12</v>
      </c>
    </row>
    <row r="79" spans="1:2" x14ac:dyDescent="0.25">
      <c r="A79" s="125">
        <v>46187</v>
      </c>
      <c r="B79">
        <v>12</v>
      </c>
    </row>
    <row r="80" spans="1:2" x14ac:dyDescent="0.25">
      <c r="A80" s="125">
        <v>46188</v>
      </c>
      <c r="B80">
        <v>12</v>
      </c>
    </row>
    <row r="81" spans="1:2" x14ac:dyDescent="0.25">
      <c r="A81" s="125">
        <v>46189</v>
      </c>
      <c r="B81">
        <v>12</v>
      </c>
    </row>
    <row r="82" spans="1:2" x14ac:dyDescent="0.25">
      <c r="A82" s="125">
        <v>46190</v>
      </c>
      <c r="B82">
        <v>12</v>
      </c>
    </row>
    <row r="83" spans="1:2" x14ac:dyDescent="0.25">
      <c r="A83" s="125">
        <v>46191</v>
      </c>
      <c r="B83">
        <v>12</v>
      </c>
    </row>
    <row r="84" spans="1:2" x14ac:dyDescent="0.25">
      <c r="A84" s="125">
        <v>46192</v>
      </c>
      <c r="B84">
        <v>12</v>
      </c>
    </row>
    <row r="85" spans="1:2" x14ac:dyDescent="0.25">
      <c r="A85" s="125">
        <v>46193</v>
      </c>
      <c r="B85">
        <v>13</v>
      </c>
    </row>
    <row r="86" spans="1:2" x14ac:dyDescent="0.25">
      <c r="A86" s="125">
        <v>46194</v>
      </c>
      <c r="B86">
        <v>13</v>
      </c>
    </row>
    <row r="87" spans="1:2" x14ac:dyDescent="0.25">
      <c r="A87" s="125">
        <v>46195</v>
      </c>
      <c r="B87">
        <v>13</v>
      </c>
    </row>
    <row r="88" spans="1:2" x14ac:dyDescent="0.25">
      <c r="A88" s="125">
        <v>46196</v>
      </c>
      <c r="B88">
        <v>13</v>
      </c>
    </row>
    <row r="89" spans="1:2" x14ac:dyDescent="0.25">
      <c r="A89" s="125">
        <v>46197</v>
      </c>
      <c r="B89">
        <v>13</v>
      </c>
    </row>
    <row r="90" spans="1:2" x14ac:dyDescent="0.25">
      <c r="A90" s="125">
        <v>46198</v>
      </c>
      <c r="B90">
        <v>13</v>
      </c>
    </row>
    <row r="91" spans="1:2" x14ac:dyDescent="0.25">
      <c r="A91" s="125">
        <v>46199</v>
      </c>
      <c r="B91">
        <v>13</v>
      </c>
    </row>
    <row r="92" spans="1:2" x14ac:dyDescent="0.25">
      <c r="A92" s="125">
        <v>46200</v>
      </c>
      <c r="B92">
        <v>14</v>
      </c>
    </row>
    <row r="93" spans="1:2" x14ac:dyDescent="0.25">
      <c r="A93" s="125">
        <v>46201</v>
      </c>
      <c r="B93">
        <v>14</v>
      </c>
    </row>
    <row r="94" spans="1:2" x14ac:dyDescent="0.25">
      <c r="A94" s="125">
        <v>46202</v>
      </c>
      <c r="B94">
        <v>14</v>
      </c>
    </row>
    <row r="95" spans="1:2" x14ac:dyDescent="0.25">
      <c r="A95" s="125">
        <v>46203</v>
      </c>
      <c r="B95">
        <v>14</v>
      </c>
    </row>
    <row r="96" spans="1:2" x14ac:dyDescent="0.25">
      <c r="A96" s="125">
        <v>46204</v>
      </c>
      <c r="B96">
        <v>14</v>
      </c>
    </row>
    <row r="97" spans="1:2" x14ac:dyDescent="0.25">
      <c r="A97" s="125">
        <v>46205</v>
      </c>
      <c r="B97">
        <v>14</v>
      </c>
    </row>
    <row r="98" spans="1:2" x14ac:dyDescent="0.25">
      <c r="A98" s="125">
        <v>46206</v>
      </c>
      <c r="B98">
        <v>14</v>
      </c>
    </row>
    <row r="99" spans="1:2" x14ac:dyDescent="0.25">
      <c r="A99" s="125">
        <v>46207</v>
      </c>
      <c r="B99">
        <v>15</v>
      </c>
    </row>
    <row r="100" spans="1:2" x14ac:dyDescent="0.25">
      <c r="A100" s="125">
        <v>46208</v>
      </c>
      <c r="B100">
        <v>15</v>
      </c>
    </row>
    <row r="101" spans="1:2" x14ac:dyDescent="0.25">
      <c r="A101" s="125">
        <v>46209</v>
      </c>
      <c r="B101">
        <v>15</v>
      </c>
    </row>
    <row r="102" spans="1:2" x14ac:dyDescent="0.25">
      <c r="A102" s="125">
        <v>46210</v>
      </c>
      <c r="B102">
        <v>15</v>
      </c>
    </row>
    <row r="103" spans="1:2" x14ac:dyDescent="0.25">
      <c r="A103" s="125">
        <v>46211</v>
      </c>
      <c r="B103">
        <v>15</v>
      </c>
    </row>
    <row r="104" spans="1:2" x14ac:dyDescent="0.25">
      <c r="A104" s="125">
        <v>46212</v>
      </c>
      <c r="B104">
        <v>15</v>
      </c>
    </row>
    <row r="105" spans="1:2" x14ac:dyDescent="0.25">
      <c r="A105" s="125">
        <v>46213</v>
      </c>
      <c r="B105">
        <v>15</v>
      </c>
    </row>
    <row r="106" spans="1:2" x14ac:dyDescent="0.25">
      <c r="A106" s="125">
        <v>46214</v>
      </c>
      <c r="B106">
        <v>16</v>
      </c>
    </row>
    <row r="107" spans="1:2" x14ac:dyDescent="0.25">
      <c r="A107" s="125">
        <v>46215</v>
      </c>
      <c r="B107">
        <v>16</v>
      </c>
    </row>
    <row r="108" spans="1:2" x14ac:dyDescent="0.25">
      <c r="A108" s="125">
        <v>46216</v>
      </c>
      <c r="B108">
        <v>16</v>
      </c>
    </row>
    <row r="109" spans="1:2" x14ac:dyDescent="0.25">
      <c r="A109" s="125">
        <v>46217</v>
      </c>
      <c r="B109">
        <v>16</v>
      </c>
    </row>
    <row r="110" spans="1:2" x14ac:dyDescent="0.25">
      <c r="A110" s="125">
        <v>46218</v>
      </c>
      <c r="B110">
        <v>16</v>
      </c>
    </row>
    <row r="111" spans="1:2" x14ac:dyDescent="0.25">
      <c r="A111" s="125">
        <v>46219</v>
      </c>
      <c r="B111">
        <v>16</v>
      </c>
    </row>
    <row r="112" spans="1:2" x14ac:dyDescent="0.25">
      <c r="A112" s="125">
        <v>46220</v>
      </c>
      <c r="B112">
        <v>16</v>
      </c>
    </row>
    <row r="113" spans="1:2" x14ac:dyDescent="0.25">
      <c r="A113" s="125">
        <v>46221</v>
      </c>
      <c r="B113">
        <v>17</v>
      </c>
    </row>
    <row r="114" spans="1:2" x14ac:dyDescent="0.25">
      <c r="A114" s="125">
        <v>46222</v>
      </c>
      <c r="B114">
        <v>17</v>
      </c>
    </row>
    <row r="115" spans="1:2" x14ac:dyDescent="0.25">
      <c r="A115" s="125">
        <v>46223</v>
      </c>
      <c r="B115">
        <v>17</v>
      </c>
    </row>
    <row r="116" spans="1:2" x14ac:dyDescent="0.25">
      <c r="A116" s="125">
        <v>46224</v>
      </c>
      <c r="B116">
        <v>17</v>
      </c>
    </row>
    <row r="117" spans="1:2" x14ac:dyDescent="0.25">
      <c r="A117" s="125">
        <v>46225</v>
      </c>
      <c r="B117">
        <v>17</v>
      </c>
    </row>
    <row r="118" spans="1:2" x14ac:dyDescent="0.25">
      <c r="A118" s="125">
        <v>46226</v>
      </c>
      <c r="B118">
        <v>17</v>
      </c>
    </row>
    <row r="119" spans="1:2" x14ac:dyDescent="0.25">
      <c r="A119" s="125">
        <v>46227</v>
      </c>
      <c r="B119">
        <v>17</v>
      </c>
    </row>
    <row r="120" spans="1:2" x14ac:dyDescent="0.25">
      <c r="A120" s="125">
        <v>46228</v>
      </c>
      <c r="B120">
        <v>18</v>
      </c>
    </row>
    <row r="121" spans="1:2" x14ac:dyDescent="0.25">
      <c r="A121" s="125">
        <v>46229</v>
      </c>
      <c r="B121">
        <v>18</v>
      </c>
    </row>
    <row r="122" spans="1:2" x14ac:dyDescent="0.25">
      <c r="A122" s="125">
        <v>46230</v>
      </c>
      <c r="B122">
        <v>18</v>
      </c>
    </row>
    <row r="123" spans="1:2" x14ac:dyDescent="0.25">
      <c r="A123" s="125">
        <v>46231</v>
      </c>
      <c r="B123">
        <v>18</v>
      </c>
    </row>
    <row r="124" spans="1:2" x14ac:dyDescent="0.25">
      <c r="A124" s="125">
        <v>46232</v>
      </c>
      <c r="B124">
        <v>18</v>
      </c>
    </row>
    <row r="125" spans="1:2" x14ac:dyDescent="0.25">
      <c r="A125" s="125">
        <v>46233</v>
      </c>
      <c r="B125">
        <v>18</v>
      </c>
    </row>
    <row r="126" spans="1:2" x14ac:dyDescent="0.25">
      <c r="A126" s="125">
        <v>46234</v>
      </c>
      <c r="B126">
        <v>18</v>
      </c>
    </row>
    <row r="127" spans="1:2" x14ac:dyDescent="0.25">
      <c r="A127" s="125">
        <v>46235</v>
      </c>
      <c r="B127">
        <f t="shared" ref="B127:B190" si="1">B120+1</f>
        <v>19</v>
      </c>
    </row>
    <row r="128" spans="1:2" x14ac:dyDescent="0.25">
      <c r="A128" s="125">
        <v>46236</v>
      </c>
      <c r="B128">
        <f t="shared" si="1"/>
        <v>19</v>
      </c>
    </row>
    <row r="129" spans="1:2" x14ac:dyDescent="0.25">
      <c r="A129" s="125">
        <v>46237</v>
      </c>
      <c r="B129">
        <f t="shared" si="1"/>
        <v>19</v>
      </c>
    </row>
    <row r="130" spans="1:2" x14ac:dyDescent="0.25">
      <c r="A130" s="125">
        <v>46238</v>
      </c>
      <c r="B130">
        <f t="shared" si="1"/>
        <v>19</v>
      </c>
    </row>
    <row r="131" spans="1:2" x14ac:dyDescent="0.25">
      <c r="A131" s="125">
        <v>46239</v>
      </c>
      <c r="B131">
        <f t="shared" si="1"/>
        <v>19</v>
      </c>
    </row>
    <row r="132" spans="1:2" x14ac:dyDescent="0.25">
      <c r="A132" s="125">
        <v>46240</v>
      </c>
      <c r="B132">
        <f t="shared" si="1"/>
        <v>19</v>
      </c>
    </row>
    <row r="133" spans="1:2" x14ac:dyDescent="0.25">
      <c r="A133" s="125">
        <v>46241</v>
      </c>
      <c r="B133">
        <f t="shared" si="1"/>
        <v>19</v>
      </c>
    </row>
    <row r="134" spans="1:2" x14ac:dyDescent="0.25">
      <c r="A134" s="125">
        <v>46242</v>
      </c>
      <c r="B134">
        <f t="shared" si="1"/>
        <v>20</v>
      </c>
    </row>
    <row r="135" spans="1:2" x14ac:dyDescent="0.25">
      <c r="A135" s="125">
        <v>46243</v>
      </c>
      <c r="B135">
        <f t="shared" si="1"/>
        <v>20</v>
      </c>
    </row>
    <row r="136" spans="1:2" x14ac:dyDescent="0.25">
      <c r="A136" s="125">
        <v>46244</v>
      </c>
      <c r="B136">
        <f t="shared" si="1"/>
        <v>20</v>
      </c>
    </row>
    <row r="137" spans="1:2" x14ac:dyDescent="0.25">
      <c r="A137" s="125">
        <v>46245</v>
      </c>
      <c r="B137">
        <f t="shared" si="1"/>
        <v>20</v>
      </c>
    </row>
    <row r="138" spans="1:2" x14ac:dyDescent="0.25">
      <c r="A138" s="125">
        <v>46246</v>
      </c>
      <c r="B138">
        <f t="shared" si="1"/>
        <v>20</v>
      </c>
    </row>
    <row r="139" spans="1:2" x14ac:dyDescent="0.25">
      <c r="A139" s="125">
        <v>46247</v>
      </c>
      <c r="B139">
        <f t="shared" si="1"/>
        <v>20</v>
      </c>
    </row>
    <row r="140" spans="1:2" x14ac:dyDescent="0.25">
      <c r="A140" s="125">
        <v>46248</v>
      </c>
      <c r="B140">
        <f t="shared" si="1"/>
        <v>20</v>
      </c>
    </row>
    <row r="141" spans="1:2" x14ac:dyDescent="0.25">
      <c r="A141" s="125">
        <v>46249</v>
      </c>
      <c r="B141">
        <f t="shared" si="1"/>
        <v>21</v>
      </c>
    </row>
    <row r="142" spans="1:2" x14ac:dyDescent="0.25">
      <c r="A142" s="125">
        <v>46250</v>
      </c>
      <c r="B142">
        <f t="shared" si="1"/>
        <v>21</v>
      </c>
    </row>
    <row r="143" spans="1:2" x14ac:dyDescent="0.25">
      <c r="A143" s="125">
        <v>46251</v>
      </c>
      <c r="B143">
        <f t="shared" si="1"/>
        <v>21</v>
      </c>
    </row>
    <row r="144" spans="1:2" x14ac:dyDescent="0.25">
      <c r="A144" s="125">
        <v>46252</v>
      </c>
      <c r="B144">
        <f t="shared" si="1"/>
        <v>21</v>
      </c>
    </row>
    <row r="145" spans="1:2" x14ac:dyDescent="0.25">
      <c r="A145" s="125">
        <v>46253</v>
      </c>
      <c r="B145">
        <f t="shared" si="1"/>
        <v>21</v>
      </c>
    </row>
    <row r="146" spans="1:2" x14ac:dyDescent="0.25">
      <c r="A146" s="125">
        <v>46254</v>
      </c>
      <c r="B146">
        <f t="shared" si="1"/>
        <v>21</v>
      </c>
    </row>
    <row r="147" spans="1:2" x14ac:dyDescent="0.25">
      <c r="A147" s="125">
        <v>46255</v>
      </c>
      <c r="B147">
        <f t="shared" si="1"/>
        <v>21</v>
      </c>
    </row>
    <row r="148" spans="1:2" x14ac:dyDescent="0.25">
      <c r="A148" s="125">
        <v>46256</v>
      </c>
      <c r="B148">
        <f t="shared" si="1"/>
        <v>22</v>
      </c>
    </row>
    <row r="149" spans="1:2" x14ac:dyDescent="0.25">
      <c r="A149" s="125">
        <v>46257</v>
      </c>
      <c r="B149">
        <f t="shared" si="1"/>
        <v>22</v>
      </c>
    </row>
    <row r="150" spans="1:2" x14ac:dyDescent="0.25">
      <c r="A150" s="125">
        <v>46258</v>
      </c>
      <c r="B150">
        <f t="shared" si="1"/>
        <v>22</v>
      </c>
    </row>
    <row r="151" spans="1:2" x14ac:dyDescent="0.25">
      <c r="A151" s="125">
        <v>46259</v>
      </c>
      <c r="B151">
        <f t="shared" si="1"/>
        <v>22</v>
      </c>
    </row>
    <row r="152" spans="1:2" x14ac:dyDescent="0.25">
      <c r="A152" s="125">
        <v>46260</v>
      </c>
      <c r="B152">
        <f t="shared" si="1"/>
        <v>22</v>
      </c>
    </row>
    <row r="153" spans="1:2" x14ac:dyDescent="0.25">
      <c r="A153" s="125">
        <v>46261</v>
      </c>
      <c r="B153">
        <f t="shared" si="1"/>
        <v>22</v>
      </c>
    </row>
    <row r="154" spans="1:2" x14ac:dyDescent="0.25">
      <c r="A154" s="125">
        <v>46262</v>
      </c>
      <c r="B154">
        <f t="shared" si="1"/>
        <v>22</v>
      </c>
    </row>
    <row r="155" spans="1:2" x14ac:dyDescent="0.25">
      <c r="A155" s="125">
        <v>46263</v>
      </c>
      <c r="B155">
        <f t="shared" si="1"/>
        <v>23</v>
      </c>
    </row>
    <row r="156" spans="1:2" x14ac:dyDescent="0.25">
      <c r="A156" s="125">
        <v>46264</v>
      </c>
      <c r="B156">
        <f t="shared" si="1"/>
        <v>23</v>
      </c>
    </row>
    <row r="157" spans="1:2" x14ac:dyDescent="0.25">
      <c r="A157" s="125">
        <v>46265</v>
      </c>
      <c r="B157">
        <f t="shared" si="1"/>
        <v>23</v>
      </c>
    </row>
    <row r="158" spans="1:2" x14ac:dyDescent="0.25">
      <c r="A158" s="125">
        <v>46266</v>
      </c>
      <c r="B158">
        <f t="shared" si="1"/>
        <v>23</v>
      </c>
    </row>
    <row r="159" spans="1:2" x14ac:dyDescent="0.25">
      <c r="A159" s="125">
        <v>46267</v>
      </c>
      <c r="B159">
        <f t="shared" si="1"/>
        <v>23</v>
      </c>
    </row>
    <row r="160" spans="1:2" x14ac:dyDescent="0.25">
      <c r="A160" s="125">
        <v>46268</v>
      </c>
      <c r="B160">
        <f t="shared" si="1"/>
        <v>23</v>
      </c>
    </row>
    <row r="161" spans="1:2" x14ac:dyDescent="0.25">
      <c r="A161" s="125">
        <v>46269</v>
      </c>
      <c r="B161">
        <f t="shared" si="1"/>
        <v>23</v>
      </c>
    </row>
    <row r="162" spans="1:2" x14ac:dyDescent="0.25">
      <c r="A162" s="125">
        <v>46270</v>
      </c>
      <c r="B162">
        <f t="shared" si="1"/>
        <v>24</v>
      </c>
    </row>
    <row r="163" spans="1:2" x14ac:dyDescent="0.25">
      <c r="A163" s="125">
        <v>46271</v>
      </c>
      <c r="B163">
        <f t="shared" si="1"/>
        <v>24</v>
      </c>
    </row>
    <row r="164" spans="1:2" x14ac:dyDescent="0.25">
      <c r="A164" s="125">
        <v>46272</v>
      </c>
      <c r="B164">
        <f t="shared" si="1"/>
        <v>24</v>
      </c>
    </row>
    <row r="165" spans="1:2" x14ac:dyDescent="0.25">
      <c r="A165" s="125">
        <v>46273</v>
      </c>
      <c r="B165">
        <f t="shared" si="1"/>
        <v>24</v>
      </c>
    </row>
    <row r="166" spans="1:2" x14ac:dyDescent="0.25">
      <c r="A166" s="125">
        <v>46274</v>
      </c>
      <c r="B166">
        <f t="shared" si="1"/>
        <v>24</v>
      </c>
    </row>
    <row r="167" spans="1:2" x14ac:dyDescent="0.25">
      <c r="A167" s="125">
        <v>46275</v>
      </c>
      <c r="B167">
        <f t="shared" si="1"/>
        <v>24</v>
      </c>
    </row>
    <row r="168" spans="1:2" x14ac:dyDescent="0.25">
      <c r="A168" s="125">
        <v>46276</v>
      </c>
      <c r="B168">
        <f t="shared" si="1"/>
        <v>24</v>
      </c>
    </row>
    <row r="169" spans="1:2" x14ac:dyDescent="0.25">
      <c r="A169" s="125">
        <v>46277</v>
      </c>
      <c r="B169">
        <f t="shared" si="1"/>
        <v>25</v>
      </c>
    </row>
    <row r="170" spans="1:2" x14ac:dyDescent="0.25">
      <c r="A170" s="125">
        <v>46278</v>
      </c>
      <c r="B170">
        <f t="shared" si="1"/>
        <v>25</v>
      </c>
    </row>
    <row r="171" spans="1:2" x14ac:dyDescent="0.25">
      <c r="A171" s="125">
        <v>46279</v>
      </c>
      <c r="B171">
        <f t="shared" si="1"/>
        <v>25</v>
      </c>
    </row>
    <row r="172" spans="1:2" x14ac:dyDescent="0.25">
      <c r="A172" s="125">
        <v>46280</v>
      </c>
      <c r="B172">
        <f t="shared" si="1"/>
        <v>25</v>
      </c>
    </row>
    <row r="173" spans="1:2" x14ac:dyDescent="0.25">
      <c r="A173" s="125">
        <v>46281</v>
      </c>
      <c r="B173">
        <f t="shared" si="1"/>
        <v>25</v>
      </c>
    </row>
    <row r="174" spans="1:2" x14ac:dyDescent="0.25">
      <c r="A174" s="125">
        <v>46282</v>
      </c>
      <c r="B174">
        <f t="shared" si="1"/>
        <v>25</v>
      </c>
    </row>
    <row r="175" spans="1:2" x14ac:dyDescent="0.25">
      <c r="A175" s="125">
        <v>46283</v>
      </c>
      <c r="B175">
        <f t="shared" si="1"/>
        <v>25</v>
      </c>
    </row>
    <row r="176" spans="1:2" x14ac:dyDescent="0.25">
      <c r="A176" s="125">
        <v>46284</v>
      </c>
      <c r="B176">
        <f t="shared" si="1"/>
        <v>26</v>
      </c>
    </row>
    <row r="177" spans="1:2" x14ac:dyDescent="0.25">
      <c r="A177" s="125">
        <v>46285</v>
      </c>
      <c r="B177">
        <f t="shared" si="1"/>
        <v>26</v>
      </c>
    </row>
    <row r="178" spans="1:2" x14ac:dyDescent="0.25">
      <c r="A178" s="125">
        <v>46286</v>
      </c>
      <c r="B178">
        <f t="shared" si="1"/>
        <v>26</v>
      </c>
    </row>
    <row r="179" spans="1:2" x14ac:dyDescent="0.25">
      <c r="A179" s="125">
        <v>46287</v>
      </c>
      <c r="B179">
        <f t="shared" si="1"/>
        <v>26</v>
      </c>
    </row>
    <row r="180" spans="1:2" x14ac:dyDescent="0.25">
      <c r="A180" s="125">
        <v>46288</v>
      </c>
      <c r="B180">
        <f t="shared" si="1"/>
        <v>26</v>
      </c>
    </row>
    <row r="181" spans="1:2" x14ac:dyDescent="0.25">
      <c r="A181" s="125">
        <v>46289</v>
      </c>
      <c r="B181">
        <f t="shared" si="1"/>
        <v>26</v>
      </c>
    </row>
    <row r="182" spans="1:2" x14ac:dyDescent="0.25">
      <c r="A182" s="125">
        <v>46290</v>
      </c>
      <c r="B182">
        <f t="shared" si="1"/>
        <v>26</v>
      </c>
    </row>
    <row r="183" spans="1:2" x14ac:dyDescent="0.25">
      <c r="A183" s="125">
        <v>46291</v>
      </c>
      <c r="B183">
        <f t="shared" si="1"/>
        <v>27</v>
      </c>
    </row>
    <row r="184" spans="1:2" x14ac:dyDescent="0.25">
      <c r="A184" s="125">
        <v>46292</v>
      </c>
      <c r="B184">
        <f t="shared" si="1"/>
        <v>27</v>
      </c>
    </row>
    <row r="185" spans="1:2" x14ac:dyDescent="0.25">
      <c r="A185" s="125">
        <v>46293</v>
      </c>
      <c r="B185">
        <f t="shared" si="1"/>
        <v>27</v>
      </c>
    </row>
    <row r="186" spans="1:2" x14ac:dyDescent="0.25">
      <c r="A186" s="125">
        <v>46294</v>
      </c>
      <c r="B186">
        <f t="shared" si="1"/>
        <v>27</v>
      </c>
    </row>
    <row r="187" spans="1:2" x14ac:dyDescent="0.25">
      <c r="A187" s="125">
        <v>46295</v>
      </c>
      <c r="B187">
        <f t="shared" si="1"/>
        <v>27</v>
      </c>
    </row>
    <row r="188" spans="1:2" x14ac:dyDescent="0.25">
      <c r="A188" s="125">
        <v>46296</v>
      </c>
      <c r="B188">
        <f t="shared" si="1"/>
        <v>27</v>
      </c>
    </row>
    <row r="189" spans="1:2" x14ac:dyDescent="0.25">
      <c r="A189" s="125">
        <v>46297</v>
      </c>
      <c r="B189">
        <f t="shared" si="1"/>
        <v>27</v>
      </c>
    </row>
    <row r="190" spans="1:2" x14ac:dyDescent="0.25">
      <c r="A190" s="125">
        <v>46298</v>
      </c>
      <c r="B190">
        <f t="shared" si="1"/>
        <v>28</v>
      </c>
    </row>
    <row r="191" spans="1:2" x14ac:dyDescent="0.25">
      <c r="A191" s="125">
        <v>46299</v>
      </c>
      <c r="B191">
        <f t="shared" ref="B191:B254" si="2">B184+1</f>
        <v>28</v>
      </c>
    </row>
    <row r="192" spans="1:2" x14ac:dyDescent="0.25">
      <c r="A192" s="125">
        <v>46300</v>
      </c>
      <c r="B192">
        <f t="shared" si="2"/>
        <v>28</v>
      </c>
    </row>
    <row r="193" spans="1:2" x14ac:dyDescent="0.25">
      <c r="A193" s="125">
        <v>46301</v>
      </c>
      <c r="B193">
        <f t="shared" si="2"/>
        <v>28</v>
      </c>
    </row>
    <row r="194" spans="1:2" x14ac:dyDescent="0.25">
      <c r="A194" s="125">
        <v>46302</v>
      </c>
      <c r="B194">
        <f t="shared" si="2"/>
        <v>28</v>
      </c>
    </row>
    <row r="195" spans="1:2" x14ac:dyDescent="0.25">
      <c r="A195" s="125">
        <v>46303</v>
      </c>
      <c r="B195">
        <f t="shared" si="2"/>
        <v>28</v>
      </c>
    </row>
    <row r="196" spans="1:2" x14ac:dyDescent="0.25">
      <c r="A196" s="125">
        <v>46304</v>
      </c>
      <c r="B196">
        <f t="shared" si="2"/>
        <v>28</v>
      </c>
    </row>
    <row r="197" spans="1:2" x14ac:dyDescent="0.25">
      <c r="A197" s="125">
        <v>46305</v>
      </c>
      <c r="B197">
        <f t="shared" si="2"/>
        <v>29</v>
      </c>
    </row>
    <row r="198" spans="1:2" x14ac:dyDescent="0.25">
      <c r="A198" s="125">
        <v>46306</v>
      </c>
      <c r="B198">
        <f t="shared" si="2"/>
        <v>29</v>
      </c>
    </row>
    <row r="199" spans="1:2" x14ac:dyDescent="0.25">
      <c r="A199" s="125">
        <v>46307</v>
      </c>
      <c r="B199">
        <f t="shared" si="2"/>
        <v>29</v>
      </c>
    </row>
    <row r="200" spans="1:2" x14ac:dyDescent="0.25">
      <c r="A200" s="125">
        <v>46308</v>
      </c>
      <c r="B200">
        <f t="shared" si="2"/>
        <v>29</v>
      </c>
    </row>
    <row r="201" spans="1:2" x14ac:dyDescent="0.25">
      <c r="A201" s="125">
        <v>46309</v>
      </c>
      <c r="B201">
        <f t="shared" si="2"/>
        <v>29</v>
      </c>
    </row>
    <row r="202" spans="1:2" x14ac:dyDescent="0.25">
      <c r="A202" s="125">
        <v>46310</v>
      </c>
      <c r="B202">
        <f t="shared" si="2"/>
        <v>29</v>
      </c>
    </row>
    <row r="203" spans="1:2" x14ac:dyDescent="0.25">
      <c r="A203" s="125">
        <v>46311</v>
      </c>
      <c r="B203">
        <f t="shared" si="2"/>
        <v>29</v>
      </c>
    </row>
    <row r="204" spans="1:2" x14ac:dyDescent="0.25">
      <c r="A204" s="125">
        <v>46312</v>
      </c>
      <c r="B204">
        <f t="shared" si="2"/>
        <v>30</v>
      </c>
    </row>
    <row r="205" spans="1:2" x14ac:dyDescent="0.25">
      <c r="A205" s="125">
        <v>46313</v>
      </c>
      <c r="B205">
        <f t="shared" si="2"/>
        <v>30</v>
      </c>
    </row>
    <row r="206" spans="1:2" x14ac:dyDescent="0.25">
      <c r="A206" s="125">
        <v>46314</v>
      </c>
      <c r="B206">
        <f t="shared" si="2"/>
        <v>30</v>
      </c>
    </row>
    <row r="207" spans="1:2" x14ac:dyDescent="0.25">
      <c r="A207" s="125">
        <v>46315</v>
      </c>
      <c r="B207">
        <f t="shared" si="2"/>
        <v>30</v>
      </c>
    </row>
    <row r="208" spans="1:2" x14ac:dyDescent="0.25">
      <c r="A208" s="125">
        <v>46316</v>
      </c>
      <c r="B208">
        <f t="shared" si="2"/>
        <v>30</v>
      </c>
    </row>
    <row r="209" spans="1:2" x14ac:dyDescent="0.25">
      <c r="A209" s="125">
        <v>46317</v>
      </c>
      <c r="B209">
        <f t="shared" si="2"/>
        <v>30</v>
      </c>
    </row>
    <row r="210" spans="1:2" x14ac:dyDescent="0.25">
      <c r="A210" s="125">
        <v>46318</v>
      </c>
      <c r="B210">
        <f t="shared" si="2"/>
        <v>30</v>
      </c>
    </row>
    <row r="211" spans="1:2" x14ac:dyDescent="0.25">
      <c r="A211" s="125">
        <v>46319</v>
      </c>
      <c r="B211">
        <f t="shared" si="2"/>
        <v>31</v>
      </c>
    </row>
    <row r="212" spans="1:2" x14ac:dyDescent="0.25">
      <c r="A212" s="125">
        <v>46320</v>
      </c>
      <c r="B212">
        <f t="shared" si="2"/>
        <v>31</v>
      </c>
    </row>
    <row r="213" spans="1:2" x14ac:dyDescent="0.25">
      <c r="A213" s="125">
        <v>46321</v>
      </c>
      <c r="B213">
        <f t="shared" si="2"/>
        <v>31</v>
      </c>
    </row>
    <row r="214" spans="1:2" x14ac:dyDescent="0.25">
      <c r="A214" s="125">
        <v>46322</v>
      </c>
      <c r="B214">
        <f t="shared" si="2"/>
        <v>31</v>
      </c>
    </row>
    <row r="215" spans="1:2" x14ac:dyDescent="0.25">
      <c r="A215" s="125">
        <v>46323</v>
      </c>
      <c r="B215">
        <f t="shared" si="2"/>
        <v>31</v>
      </c>
    </row>
    <row r="216" spans="1:2" x14ac:dyDescent="0.25">
      <c r="A216" s="125">
        <v>46324</v>
      </c>
      <c r="B216">
        <f t="shared" si="2"/>
        <v>31</v>
      </c>
    </row>
    <row r="217" spans="1:2" x14ac:dyDescent="0.25">
      <c r="A217" s="125">
        <v>46325</v>
      </c>
      <c r="B217">
        <f t="shared" si="2"/>
        <v>31</v>
      </c>
    </row>
    <row r="218" spans="1:2" x14ac:dyDescent="0.25">
      <c r="A218" s="125">
        <v>46326</v>
      </c>
      <c r="B218">
        <f t="shared" si="2"/>
        <v>32</v>
      </c>
    </row>
    <row r="219" spans="1:2" x14ac:dyDescent="0.25">
      <c r="A219" s="125">
        <v>46327</v>
      </c>
      <c r="B219">
        <f t="shared" si="2"/>
        <v>32</v>
      </c>
    </row>
    <row r="220" spans="1:2" x14ac:dyDescent="0.25">
      <c r="A220" s="125">
        <v>46328</v>
      </c>
      <c r="B220">
        <f t="shared" si="2"/>
        <v>32</v>
      </c>
    </row>
    <row r="221" spans="1:2" x14ac:dyDescent="0.25">
      <c r="A221" s="125">
        <v>46329</v>
      </c>
      <c r="B221">
        <f t="shared" si="2"/>
        <v>32</v>
      </c>
    </row>
    <row r="222" spans="1:2" x14ac:dyDescent="0.25">
      <c r="A222" s="125">
        <v>46330</v>
      </c>
      <c r="B222">
        <f t="shared" si="2"/>
        <v>32</v>
      </c>
    </row>
    <row r="223" spans="1:2" x14ac:dyDescent="0.25">
      <c r="A223" s="125">
        <v>46331</v>
      </c>
      <c r="B223">
        <f t="shared" si="2"/>
        <v>32</v>
      </c>
    </row>
    <row r="224" spans="1:2" x14ac:dyDescent="0.25">
      <c r="A224" s="125">
        <v>46332</v>
      </c>
      <c r="B224">
        <f t="shared" si="2"/>
        <v>32</v>
      </c>
    </row>
    <row r="225" spans="1:2" x14ac:dyDescent="0.25">
      <c r="A225" s="125">
        <v>46333</v>
      </c>
      <c r="B225">
        <f t="shared" si="2"/>
        <v>33</v>
      </c>
    </row>
    <row r="226" spans="1:2" x14ac:dyDescent="0.25">
      <c r="A226" s="125">
        <v>46334</v>
      </c>
      <c r="B226">
        <f t="shared" si="2"/>
        <v>33</v>
      </c>
    </row>
    <row r="227" spans="1:2" x14ac:dyDescent="0.25">
      <c r="A227" s="125">
        <v>46335</v>
      </c>
      <c r="B227">
        <f t="shared" si="2"/>
        <v>33</v>
      </c>
    </row>
    <row r="228" spans="1:2" x14ac:dyDescent="0.25">
      <c r="A228" s="125">
        <v>46336</v>
      </c>
      <c r="B228">
        <f t="shared" si="2"/>
        <v>33</v>
      </c>
    </row>
    <row r="229" spans="1:2" x14ac:dyDescent="0.25">
      <c r="A229" s="125">
        <v>46337</v>
      </c>
      <c r="B229">
        <f t="shared" si="2"/>
        <v>33</v>
      </c>
    </row>
    <row r="230" spans="1:2" x14ac:dyDescent="0.25">
      <c r="A230" s="125">
        <v>46338</v>
      </c>
      <c r="B230">
        <f t="shared" si="2"/>
        <v>33</v>
      </c>
    </row>
    <row r="231" spans="1:2" x14ac:dyDescent="0.25">
      <c r="A231" s="125">
        <v>46339</v>
      </c>
      <c r="B231">
        <f t="shared" si="2"/>
        <v>33</v>
      </c>
    </row>
    <row r="232" spans="1:2" x14ac:dyDescent="0.25">
      <c r="A232" s="125">
        <v>46340</v>
      </c>
      <c r="B232">
        <f t="shared" si="2"/>
        <v>34</v>
      </c>
    </row>
    <row r="233" spans="1:2" x14ac:dyDescent="0.25">
      <c r="A233" s="125">
        <v>46341</v>
      </c>
      <c r="B233">
        <f t="shared" si="2"/>
        <v>34</v>
      </c>
    </row>
    <row r="234" spans="1:2" x14ac:dyDescent="0.25">
      <c r="A234" s="125">
        <v>46342</v>
      </c>
      <c r="B234">
        <f t="shared" si="2"/>
        <v>34</v>
      </c>
    </row>
    <row r="235" spans="1:2" x14ac:dyDescent="0.25">
      <c r="A235" s="125">
        <v>46343</v>
      </c>
      <c r="B235">
        <f t="shared" si="2"/>
        <v>34</v>
      </c>
    </row>
    <row r="236" spans="1:2" x14ac:dyDescent="0.25">
      <c r="A236" s="125">
        <v>46344</v>
      </c>
      <c r="B236">
        <f t="shared" si="2"/>
        <v>34</v>
      </c>
    </row>
    <row r="237" spans="1:2" x14ac:dyDescent="0.25">
      <c r="A237" s="125">
        <v>46345</v>
      </c>
      <c r="B237">
        <f t="shared" si="2"/>
        <v>34</v>
      </c>
    </row>
    <row r="238" spans="1:2" x14ac:dyDescent="0.25">
      <c r="A238" s="125">
        <v>46346</v>
      </c>
      <c r="B238">
        <f t="shared" si="2"/>
        <v>34</v>
      </c>
    </row>
    <row r="239" spans="1:2" x14ac:dyDescent="0.25">
      <c r="A239" s="125">
        <v>46347</v>
      </c>
      <c r="B239">
        <f t="shared" si="2"/>
        <v>35</v>
      </c>
    </row>
    <row r="240" spans="1:2" x14ac:dyDescent="0.25">
      <c r="A240" s="125">
        <v>46348</v>
      </c>
      <c r="B240">
        <f t="shared" si="2"/>
        <v>35</v>
      </c>
    </row>
    <row r="241" spans="1:2" x14ac:dyDescent="0.25">
      <c r="A241" s="125">
        <v>46349</v>
      </c>
      <c r="B241">
        <f t="shared" si="2"/>
        <v>35</v>
      </c>
    </row>
    <row r="242" spans="1:2" x14ac:dyDescent="0.25">
      <c r="A242" s="125">
        <v>46350</v>
      </c>
      <c r="B242">
        <f t="shared" si="2"/>
        <v>35</v>
      </c>
    </row>
    <row r="243" spans="1:2" x14ac:dyDescent="0.25">
      <c r="A243" s="125">
        <v>46351</v>
      </c>
      <c r="B243">
        <f t="shared" si="2"/>
        <v>35</v>
      </c>
    </row>
    <row r="244" spans="1:2" x14ac:dyDescent="0.25">
      <c r="A244" s="125">
        <v>46352</v>
      </c>
      <c r="B244">
        <f t="shared" si="2"/>
        <v>35</v>
      </c>
    </row>
    <row r="245" spans="1:2" x14ac:dyDescent="0.25">
      <c r="A245" s="125">
        <v>46353</v>
      </c>
      <c r="B245">
        <f t="shared" si="2"/>
        <v>35</v>
      </c>
    </row>
    <row r="246" spans="1:2" x14ac:dyDescent="0.25">
      <c r="A246" s="125">
        <v>46354</v>
      </c>
      <c r="B246">
        <f t="shared" si="2"/>
        <v>36</v>
      </c>
    </row>
    <row r="247" spans="1:2" x14ac:dyDescent="0.25">
      <c r="A247" s="125">
        <v>46355</v>
      </c>
      <c r="B247">
        <f t="shared" si="2"/>
        <v>36</v>
      </c>
    </row>
    <row r="248" spans="1:2" x14ac:dyDescent="0.25">
      <c r="A248" s="125">
        <v>46356</v>
      </c>
      <c r="B248">
        <f t="shared" si="2"/>
        <v>36</v>
      </c>
    </row>
    <row r="249" spans="1:2" x14ac:dyDescent="0.25">
      <c r="A249" s="125">
        <v>46357</v>
      </c>
      <c r="B249">
        <f t="shared" si="2"/>
        <v>36</v>
      </c>
    </row>
    <row r="250" spans="1:2" x14ac:dyDescent="0.25">
      <c r="A250" s="125">
        <v>46358</v>
      </c>
      <c r="B250">
        <f t="shared" si="2"/>
        <v>36</v>
      </c>
    </row>
    <row r="251" spans="1:2" x14ac:dyDescent="0.25">
      <c r="A251" s="125">
        <v>46359</v>
      </c>
      <c r="B251">
        <f t="shared" si="2"/>
        <v>36</v>
      </c>
    </row>
    <row r="252" spans="1:2" x14ac:dyDescent="0.25">
      <c r="A252" s="125">
        <v>46360</v>
      </c>
      <c r="B252">
        <f t="shared" si="2"/>
        <v>36</v>
      </c>
    </row>
    <row r="253" spans="1:2" x14ac:dyDescent="0.25">
      <c r="A253" s="125">
        <v>46361</v>
      </c>
      <c r="B253">
        <f t="shared" si="2"/>
        <v>37</v>
      </c>
    </row>
    <row r="254" spans="1:2" x14ac:dyDescent="0.25">
      <c r="A254" s="125">
        <v>46362</v>
      </c>
      <c r="B254">
        <f t="shared" si="2"/>
        <v>37</v>
      </c>
    </row>
    <row r="255" spans="1:2" x14ac:dyDescent="0.25">
      <c r="A255" s="125">
        <v>46363</v>
      </c>
      <c r="B255">
        <f t="shared" ref="B255:B318" si="3">B248+1</f>
        <v>37</v>
      </c>
    </row>
    <row r="256" spans="1:2" x14ac:dyDescent="0.25">
      <c r="A256" s="125">
        <v>46364</v>
      </c>
      <c r="B256">
        <f t="shared" si="3"/>
        <v>37</v>
      </c>
    </row>
    <row r="257" spans="1:2" x14ac:dyDescent="0.25">
      <c r="A257" s="125">
        <v>46365</v>
      </c>
      <c r="B257">
        <f t="shared" si="3"/>
        <v>37</v>
      </c>
    </row>
    <row r="258" spans="1:2" x14ac:dyDescent="0.25">
      <c r="A258" s="125">
        <v>46366</v>
      </c>
      <c r="B258">
        <f t="shared" si="3"/>
        <v>37</v>
      </c>
    </row>
    <row r="259" spans="1:2" x14ac:dyDescent="0.25">
      <c r="A259" s="125">
        <v>46367</v>
      </c>
      <c r="B259">
        <f t="shared" si="3"/>
        <v>37</v>
      </c>
    </row>
    <row r="260" spans="1:2" x14ac:dyDescent="0.25">
      <c r="A260" s="125">
        <v>46368</v>
      </c>
      <c r="B260">
        <f t="shared" si="3"/>
        <v>38</v>
      </c>
    </row>
    <row r="261" spans="1:2" x14ac:dyDescent="0.25">
      <c r="A261" s="125">
        <v>46369</v>
      </c>
      <c r="B261">
        <f t="shared" si="3"/>
        <v>38</v>
      </c>
    </row>
    <row r="262" spans="1:2" x14ac:dyDescent="0.25">
      <c r="A262" s="125">
        <v>46370</v>
      </c>
      <c r="B262">
        <f t="shared" si="3"/>
        <v>38</v>
      </c>
    </row>
    <row r="263" spans="1:2" x14ac:dyDescent="0.25">
      <c r="A263" s="125">
        <v>46371</v>
      </c>
      <c r="B263">
        <f t="shared" si="3"/>
        <v>38</v>
      </c>
    </row>
    <row r="264" spans="1:2" x14ac:dyDescent="0.25">
      <c r="A264" s="125">
        <v>46372</v>
      </c>
      <c r="B264">
        <f t="shared" si="3"/>
        <v>38</v>
      </c>
    </row>
    <row r="265" spans="1:2" x14ac:dyDescent="0.25">
      <c r="A265" s="125">
        <v>46373</v>
      </c>
      <c r="B265">
        <f t="shared" si="3"/>
        <v>38</v>
      </c>
    </row>
    <row r="266" spans="1:2" x14ac:dyDescent="0.25">
      <c r="A266" s="125">
        <v>46374</v>
      </c>
      <c r="B266">
        <f t="shared" si="3"/>
        <v>38</v>
      </c>
    </row>
    <row r="267" spans="1:2" x14ac:dyDescent="0.25">
      <c r="A267" s="125">
        <v>46375</v>
      </c>
      <c r="B267">
        <f t="shared" si="3"/>
        <v>39</v>
      </c>
    </row>
    <row r="268" spans="1:2" x14ac:dyDescent="0.25">
      <c r="A268" s="125">
        <v>46376</v>
      </c>
      <c r="B268">
        <f t="shared" si="3"/>
        <v>39</v>
      </c>
    </row>
    <row r="269" spans="1:2" x14ac:dyDescent="0.25">
      <c r="A269" s="125">
        <v>46377</v>
      </c>
      <c r="B269">
        <f t="shared" si="3"/>
        <v>39</v>
      </c>
    </row>
    <row r="270" spans="1:2" x14ac:dyDescent="0.25">
      <c r="A270" s="125">
        <v>46378</v>
      </c>
      <c r="B270">
        <f t="shared" si="3"/>
        <v>39</v>
      </c>
    </row>
    <row r="271" spans="1:2" x14ac:dyDescent="0.25">
      <c r="A271" s="125">
        <v>46379</v>
      </c>
      <c r="B271">
        <f t="shared" si="3"/>
        <v>39</v>
      </c>
    </row>
    <row r="272" spans="1:2" x14ac:dyDescent="0.25">
      <c r="A272" s="125">
        <v>46380</v>
      </c>
      <c r="B272">
        <f t="shared" si="3"/>
        <v>39</v>
      </c>
    </row>
    <row r="273" spans="1:2" x14ac:dyDescent="0.25">
      <c r="A273" s="125">
        <v>46381</v>
      </c>
      <c r="B273">
        <f t="shared" si="3"/>
        <v>39</v>
      </c>
    </row>
    <row r="274" spans="1:2" x14ac:dyDescent="0.25">
      <c r="A274" s="125">
        <v>46382</v>
      </c>
      <c r="B274">
        <f t="shared" si="3"/>
        <v>40</v>
      </c>
    </row>
    <row r="275" spans="1:2" x14ac:dyDescent="0.25">
      <c r="A275" s="125">
        <v>46383</v>
      </c>
      <c r="B275">
        <f t="shared" si="3"/>
        <v>40</v>
      </c>
    </row>
    <row r="276" spans="1:2" x14ac:dyDescent="0.25">
      <c r="A276" s="125">
        <v>46384</v>
      </c>
      <c r="B276">
        <f t="shared" si="3"/>
        <v>40</v>
      </c>
    </row>
    <row r="277" spans="1:2" x14ac:dyDescent="0.25">
      <c r="A277" s="125">
        <v>46385</v>
      </c>
      <c r="B277">
        <f t="shared" si="3"/>
        <v>40</v>
      </c>
    </row>
    <row r="278" spans="1:2" x14ac:dyDescent="0.25">
      <c r="A278" s="125">
        <v>46386</v>
      </c>
      <c r="B278">
        <f t="shared" si="3"/>
        <v>40</v>
      </c>
    </row>
    <row r="279" spans="1:2" x14ac:dyDescent="0.25">
      <c r="A279" s="125">
        <v>46387</v>
      </c>
      <c r="B279">
        <f t="shared" si="3"/>
        <v>40</v>
      </c>
    </row>
    <row r="280" spans="1:2" x14ac:dyDescent="0.25">
      <c r="A280" s="125">
        <v>46388</v>
      </c>
      <c r="B280">
        <f t="shared" si="3"/>
        <v>40</v>
      </c>
    </row>
    <row r="281" spans="1:2" x14ac:dyDescent="0.25">
      <c r="A281" s="125">
        <v>46389</v>
      </c>
      <c r="B281">
        <f t="shared" si="3"/>
        <v>41</v>
      </c>
    </row>
    <row r="282" spans="1:2" x14ac:dyDescent="0.25">
      <c r="A282" s="125">
        <v>46390</v>
      </c>
      <c r="B282">
        <f t="shared" si="3"/>
        <v>41</v>
      </c>
    </row>
    <row r="283" spans="1:2" x14ac:dyDescent="0.25">
      <c r="A283" s="125">
        <v>46391</v>
      </c>
      <c r="B283">
        <f t="shared" si="3"/>
        <v>41</v>
      </c>
    </row>
    <row r="284" spans="1:2" x14ac:dyDescent="0.25">
      <c r="A284" s="125">
        <v>46392</v>
      </c>
      <c r="B284">
        <f t="shared" si="3"/>
        <v>41</v>
      </c>
    </row>
    <row r="285" spans="1:2" x14ac:dyDescent="0.25">
      <c r="A285" s="125">
        <v>46393</v>
      </c>
      <c r="B285">
        <f t="shared" si="3"/>
        <v>41</v>
      </c>
    </row>
    <row r="286" spans="1:2" x14ac:dyDescent="0.25">
      <c r="A286" s="125">
        <v>46394</v>
      </c>
      <c r="B286">
        <f t="shared" si="3"/>
        <v>41</v>
      </c>
    </row>
    <row r="287" spans="1:2" x14ac:dyDescent="0.25">
      <c r="A287" s="125">
        <v>46395</v>
      </c>
      <c r="B287">
        <f t="shared" si="3"/>
        <v>41</v>
      </c>
    </row>
    <row r="288" spans="1:2" x14ac:dyDescent="0.25">
      <c r="A288" s="125">
        <v>46396</v>
      </c>
      <c r="B288">
        <f t="shared" si="3"/>
        <v>42</v>
      </c>
    </row>
    <row r="289" spans="1:2" x14ac:dyDescent="0.25">
      <c r="A289" s="125">
        <v>46397</v>
      </c>
      <c r="B289">
        <f t="shared" si="3"/>
        <v>42</v>
      </c>
    </row>
    <row r="290" spans="1:2" x14ac:dyDescent="0.25">
      <c r="A290" s="125">
        <v>46398</v>
      </c>
      <c r="B290">
        <f t="shared" si="3"/>
        <v>42</v>
      </c>
    </row>
    <row r="291" spans="1:2" x14ac:dyDescent="0.25">
      <c r="A291" s="125">
        <v>46399</v>
      </c>
      <c r="B291">
        <f t="shared" si="3"/>
        <v>42</v>
      </c>
    </row>
    <row r="292" spans="1:2" x14ac:dyDescent="0.25">
      <c r="A292" s="125">
        <v>46400</v>
      </c>
      <c r="B292">
        <f t="shared" si="3"/>
        <v>42</v>
      </c>
    </row>
    <row r="293" spans="1:2" x14ac:dyDescent="0.25">
      <c r="A293" s="125">
        <v>46401</v>
      </c>
      <c r="B293">
        <f t="shared" si="3"/>
        <v>42</v>
      </c>
    </row>
    <row r="294" spans="1:2" x14ac:dyDescent="0.25">
      <c r="A294" s="125">
        <v>46402</v>
      </c>
      <c r="B294">
        <f t="shared" si="3"/>
        <v>42</v>
      </c>
    </row>
    <row r="295" spans="1:2" x14ac:dyDescent="0.25">
      <c r="A295" s="125">
        <v>46403</v>
      </c>
      <c r="B295">
        <f t="shared" si="3"/>
        <v>43</v>
      </c>
    </row>
    <row r="296" spans="1:2" x14ac:dyDescent="0.25">
      <c r="A296" s="125">
        <v>46404</v>
      </c>
      <c r="B296">
        <f t="shared" si="3"/>
        <v>43</v>
      </c>
    </row>
    <row r="297" spans="1:2" x14ac:dyDescent="0.25">
      <c r="A297" s="125">
        <v>46405</v>
      </c>
      <c r="B297">
        <f t="shared" si="3"/>
        <v>43</v>
      </c>
    </row>
    <row r="298" spans="1:2" x14ac:dyDescent="0.25">
      <c r="A298" s="125">
        <v>46406</v>
      </c>
      <c r="B298">
        <f t="shared" si="3"/>
        <v>43</v>
      </c>
    </row>
    <row r="299" spans="1:2" x14ac:dyDescent="0.25">
      <c r="A299" s="125">
        <v>46407</v>
      </c>
      <c r="B299">
        <f t="shared" si="3"/>
        <v>43</v>
      </c>
    </row>
    <row r="300" spans="1:2" x14ac:dyDescent="0.25">
      <c r="A300" s="125">
        <v>46408</v>
      </c>
      <c r="B300">
        <f t="shared" si="3"/>
        <v>43</v>
      </c>
    </row>
    <row r="301" spans="1:2" x14ac:dyDescent="0.25">
      <c r="A301" s="125">
        <v>46409</v>
      </c>
      <c r="B301">
        <f t="shared" si="3"/>
        <v>43</v>
      </c>
    </row>
    <row r="302" spans="1:2" x14ac:dyDescent="0.25">
      <c r="A302" s="125">
        <v>46410</v>
      </c>
      <c r="B302">
        <f t="shared" si="3"/>
        <v>44</v>
      </c>
    </row>
    <row r="303" spans="1:2" x14ac:dyDescent="0.25">
      <c r="A303" s="125">
        <v>46411</v>
      </c>
      <c r="B303">
        <f t="shared" si="3"/>
        <v>44</v>
      </c>
    </row>
    <row r="304" spans="1:2" x14ac:dyDescent="0.25">
      <c r="A304" s="125">
        <v>46412</v>
      </c>
      <c r="B304">
        <f t="shared" si="3"/>
        <v>44</v>
      </c>
    </row>
    <row r="305" spans="1:2" x14ac:dyDescent="0.25">
      <c r="A305" s="125">
        <v>46413</v>
      </c>
      <c r="B305">
        <f t="shared" si="3"/>
        <v>44</v>
      </c>
    </row>
    <row r="306" spans="1:2" x14ac:dyDescent="0.25">
      <c r="A306" s="125">
        <v>46414</v>
      </c>
      <c r="B306">
        <f t="shared" si="3"/>
        <v>44</v>
      </c>
    </row>
    <row r="307" spans="1:2" x14ac:dyDescent="0.25">
      <c r="A307" s="125">
        <v>46415</v>
      </c>
      <c r="B307">
        <f t="shared" si="3"/>
        <v>44</v>
      </c>
    </row>
    <row r="308" spans="1:2" x14ac:dyDescent="0.25">
      <c r="A308" s="125">
        <v>46416</v>
      </c>
      <c r="B308">
        <f t="shared" si="3"/>
        <v>44</v>
      </c>
    </row>
    <row r="309" spans="1:2" x14ac:dyDescent="0.25">
      <c r="A309" s="125">
        <v>46417</v>
      </c>
      <c r="B309">
        <f t="shared" si="3"/>
        <v>45</v>
      </c>
    </row>
    <row r="310" spans="1:2" x14ac:dyDescent="0.25">
      <c r="A310" s="125">
        <v>46418</v>
      </c>
      <c r="B310">
        <f t="shared" si="3"/>
        <v>45</v>
      </c>
    </row>
    <row r="311" spans="1:2" x14ac:dyDescent="0.25">
      <c r="A311" s="125">
        <v>46419</v>
      </c>
      <c r="B311">
        <f t="shared" si="3"/>
        <v>45</v>
      </c>
    </row>
    <row r="312" spans="1:2" x14ac:dyDescent="0.25">
      <c r="A312" s="125">
        <v>46420</v>
      </c>
      <c r="B312">
        <f t="shared" si="3"/>
        <v>45</v>
      </c>
    </row>
    <row r="313" spans="1:2" x14ac:dyDescent="0.25">
      <c r="A313" s="125">
        <v>46421</v>
      </c>
      <c r="B313">
        <f t="shared" si="3"/>
        <v>45</v>
      </c>
    </row>
    <row r="314" spans="1:2" x14ac:dyDescent="0.25">
      <c r="A314" s="125">
        <v>46422</v>
      </c>
      <c r="B314">
        <f t="shared" si="3"/>
        <v>45</v>
      </c>
    </row>
    <row r="315" spans="1:2" x14ac:dyDescent="0.25">
      <c r="A315" s="125">
        <v>46423</v>
      </c>
      <c r="B315">
        <f t="shared" si="3"/>
        <v>45</v>
      </c>
    </row>
    <row r="316" spans="1:2" x14ac:dyDescent="0.25">
      <c r="A316" s="125">
        <v>46424</v>
      </c>
      <c r="B316">
        <f t="shared" si="3"/>
        <v>46</v>
      </c>
    </row>
    <row r="317" spans="1:2" x14ac:dyDescent="0.25">
      <c r="A317" s="125">
        <v>46425</v>
      </c>
      <c r="B317">
        <f t="shared" si="3"/>
        <v>46</v>
      </c>
    </row>
    <row r="318" spans="1:2" x14ac:dyDescent="0.25">
      <c r="A318" s="125">
        <v>46426</v>
      </c>
      <c r="B318">
        <f t="shared" si="3"/>
        <v>46</v>
      </c>
    </row>
    <row r="319" spans="1:2" x14ac:dyDescent="0.25">
      <c r="A319" s="125">
        <v>46427</v>
      </c>
      <c r="B319">
        <f t="shared" ref="B319:B371" si="4">B312+1</f>
        <v>46</v>
      </c>
    </row>
    <row r="320" spans="1:2" x14ac:dyDescent="0.25">
      <c r="A320" s="125">
        <v>46428</v>
      </c>
      <c r="B320">
        <f t="shared" si="4"/>
        <v>46</v>
      </c>
    </row>
    <row r="321" spans="1:2" x14ac:dyDescent="0.25">
      <c r="A321" s="125">
        <v>46429</v>
      </c>
      <c r="B321">
        <f t="shared" si="4"/>
        <v>46</v>
      </c>
    </row>
    <row r="322" spans="1:2" x14ac:dyDescent="0.25">
      <c r="A322" s="125">
        <v>46430</v>
      </c>
      <c r="B322">
        <f t="shared" si="4"/>
        <v>46</v>
      </c>
    </row>
    <row r="323" spans="1:2" x14ac:dyDescent="0.25">
      <c r="A323" s="125">
        <v>46431</v>
      </c>
      <c r="B323">
        <f t="shared" si="4"/>
        <v>47</v>
      </c>
    </row>
    <row r="324" spans="1:2" x14ac:dyDescent="0.25">
      <c r="A324" s="125">
        <v>46432</v>
      </c>
      <c r="B324">
        <f t="shared" si="4"/>
        <v>47</v>
      </c>
    </row>
    <row r="325" spans="1:2" x14ac:dyDescent="0.25">
      <c r="A325" s="125">
        <v>46433</v>
      </c>
      <c r="B325">
        <f t="shared" si="4"/>
        <v>47</v>
      </c>
    </row>
    <row r="326" spans="1:2" x14ac:dyDescent="0.25">
      <c r="A326" s="125">
        <v>46434</v>
      </c>
      <c r="B326">
        <f t="shared" si="4"/>
        <v>47</v>
      </c>
    </row>
    <row r="327" spans="1:2" x14ac:dyDescent="0.25">
      <c r="A327" s="125">
        <v>46435</v>
      </c>
      <c r="B327">
        <f t="shared" si="4"/>
        <v>47</v>
      </c>
    </row>
    <row r="328" spans="1:2" x14ac:dyDescent="0.25">
      <c r="A328" s="125">
        <v>46436</v>
      </c>
      <c r="B328">
        <f t="shared" si="4"/>
        <v>47</v>
      </c>
    </row>
    <row r="329" spans="1:2" x14ac:dyDescent="0.25">
      <c r="A329" s="125">
        <v>46437</v>
      </c>
      <c r="B329">
        <f t="shared" si="4"/>
        <v>47</v>
      </c>
    </row>
    <row r="330" spans="1:2" x14ac:dyDescent="0.25">
      <c r="A330" s="125">
        <v>46438</v>
      </c>
      <c r="B330">
        <f t="shared" si="4"/>
        <v>48</v>
      </c>
    </row>
    <row r="331" spans="1:2" x14ac:dyDescent="0.25">
      <c r="A331" s="125">
        <v>46439</v>
      </c>
      <c r="B331">
        <f t="shared" si="4"/>
        <v>48</v>
      </c>
    </row>
    <row r="332" spans="1:2" x14ac:dyDescent="0.25">
      <c r="A332" s="125">
        <v>46440</v>
      </c>
      <c r="B332">
        <f t="shared" si="4"/>
        <v>48</v>
      </c>
    </row>
    <row r="333" spans="1:2" x14ac:dyDescent="0.25">
      <c r="A333" s="125">
        <v>46441</v>
      </c>
      <c r="B333">
        <f t="shared" si="4"/>
        <v>48</v>
      </c>
    </row>
    <row r="334" spans="1:2" x14ac:dyDescent="0.25">
      <c r="A334" s="125">
        <v>46442</v>
      </c>
      <c r="B334">
        <f t="shared" si="4"/>
        <v>48</v>
      </c>
    </row>
    <row r="335" spans="1:2" x14ac:dyDescent="0.25">
      <c r="A335" s="125">
        <v>46443</v>
      </c>
      <c r="B335">
        <f t="shared" si="4"/>
        <v>48</v>
      </c>
    </row>
    <row r="336" spans="1:2" x14ac:dyDescent="0.25">
      <c r="A336" s="125">
        <v>46444</v>
      </c>
      <c r="B336">
        <f t="shared" si="4"/>
        <v>48</v>
      </c>
    </row>
    <row r="337" spans="1:2" x14ac:dyDescent="0.25">
      <c r="A337" s="125">
        <v>46445</v>
      </c>
      <c r="B337">
        <f t="shared" si="4"/>
        <v>49</v>
      </c>
    </row>
    <row r="338" spans="1:2" x14ac:dyDescent="0.25">
      <c r="A338" s="125">
        <v>46446</v>
      </c>
      <c r="B338">
        <f t="shared" si="4"/>
        <v>49</v>
      </c>
    </row>
    <row r="339" spans="1:2" x14ac:dyDescent="0.25">
      <c r="A339" s="125">
        <v>46447</v>
      </c>
      <c r="B339">
        <f t="shared" si="4"/>
        <v>49</v>
      </c>
    </row>
    <row r="340" spans="1:2" x14ac:dyDescent="0.25">
      <c r="A340" s="125">
        <v>46448</v>
      </c>
      <c r="B340">
        <f t="shared" si="4"/>
        <v>49</v>
      </c>
    </row>
    <row r="341" spans="1:2" x14ac:dyDescent="0.25">
      <c r="A341" s="125">
        <v>46449</v>
      </c>
      <c r="B341">
        <f t="shared" si="4"/>
        <v>49</v>
      </c>
    </row>
    <row r="342" spans="1:2" x14ac:dyDescent="0.25">
      <c r="A342" s="125">
        <v>46450</v>
      </c>
      <c r="B342">
        <f t="shared" si="4"/>
        <v>49</v>
      </c>
    </row>
    <row r="343" spans="1:2" x14ac:dyDescent="0.25">
      <c r="A343" s="125">
        <v>46451</v>
      </c>
      <c r="B343">
        <f t="shared" si="4"/>
        <v>49</v>
      </c>
    </row>
    <row r="344" spans="1:2" x14ac:dyDescent="0.25">
      <c r="A344" s="125">
        <v>46452</v>
      </c>
      <c r="B344">
        <f t="shared" si="4"/>
        <v>50</v>
      </c>
    </row>
    <row r="345" spans="1:2" x14ac:dyDescent="0.25">
      <c r="A345" s="125">
        <v>46453</v>
      </c>
      <c r="B345">
        <f t="shared" si="4"/>
        <v>50</v>
      </c>
    </row>
    <row r="346" spans="1:2" x14ac:dyDescent="0.25">
      <c r="A346" s="125">
        <v>46454</v>
      </c>
      <c r="B346">
        <f t="shared" si="4"/>
        <v>50</v>
      </c>
    </row>
    <row r="347" spans="1:2" x14ac:dyDescent="0.25">
      <c r="A347" s="125">
        <v>46455</v>
      </c>
      <c r="B347">
        <f t="shared" si="4"/>
        <v>50</v>
      </c>
    </row>
    <row r="348" spans="1:2" x14ac:dyDescent="0.25">
      <c r="A348" s="125">
        <v>46456</v>
      </c>
      <c r="B348">
        <f t="shared" si="4"/>
        <v>50</v>
      </c>
    </row>
    <row r="349" spans="1:2" x14ac:dyDescent="0.25">
      <c r="A349" s="125">
        <v>46457</v>
      </c>
      <c r="B349">
        <f t="shared" si="4"/>
        <v>50</v>
      </c>
    </row>
    <row r="350" spans="1:2" x14ac:dyDescent="0.25">
      <c r="A350" s="125">
        <v>46458</v>
      </c>
      <c r="B350">
        <f t="shared" si="4"/>
        <v>50</v>
      </c>
    </row>
    <row r="351" spans="1:2" x14ac:dyDescent="0.25">
      <c r="A351" s="125">
        <v>46459</v>
      </c>
      <c r="B351">
        <f t="shared" si="4"/>
        <v>51</v>
      </c>
    </row>
    <row r="352" spans="1:2" x14ac:dyDescent="0.25">
      <c r="A352" s="125">
        <v>46460</v>
      </c>
      <c r="B352">
        <f t="shared" si="4"/>
        <v>51</v>
      </c>
    </row>
    <row r="353" spans="1:2" x14ac:dyDescent="0.25">
      <c r="A353" s="125">
        <v>46461</v>
      </c>
      <c r="B353">
        <f t="shared" si="4"/>
        <v>51</v>
      </c>
    </row>
    <row r="354" spans="1:2" x14ac:dyDescent="0.25">
      <c r="A354" s="125">
        <v>46462</v>
      </c>
      <c r="B354">
        <f t="shared" si="4"/>
        <v>51</v>
      </c>
    </row>
    <row r="355" spans="1:2" x14ac:dyDescent="0.25">
      <c r="A355" s="125">
        <v>46463</v>
      </c>
      <c r="B355">
        <f t="shared" si="4"/>
        <v>51</v>
      </c>
    </row>
    <row r="356" spans="1:2" x14ac:dyDescent="0.25">
      <c r="A356" s="125">
        <v>46464</v>
      </c>
      <c r="B356">
        <f t="shared" si="4"/>
        <v>51</v>
      </c>
    </row>
    <row r="357" spans="1:2" x14ac:dyDescent="0.25">
      <c r="A357" s="125">
        <v>46465</v>
      </c>
      <c r="B357">
        <f t="shared" si="4"/>
        <v>51</v>
      </c>
    </row>
    <row r="358" spans="1:2" x14ac:dyDescent="0.25">
      <c r="A358" s="125">
        <v>46466</v>
      </c>
      <c r="B358">
        <f t="shared" si="4"/>
        <v>52</v>
      </c>
    </row>
    <row r="359" spans="1:2" x14ac:dyDescent="0.25">
      <c r="A359" s="125">
        <v>46467</v>
      </c>
      <c r="B359">
        <f t="shared" si="4"/>
        <v>52</v>
      </c>
    </row>
    <row r="360" spans="1:2" x14ac:dyDescent="0.25">
      <c r="A360" s="125">
        <v>46468</v>
      </c>
      <c r="B360">
        <f t="shared" si="4"/>
        <v>52</v>
      </c>
    </row>
    <row r="361" spans="1:2" x14ac:dyDescent="0.25">
      <c r="A361" s="125">
        <v>46469</v>
      </c>
      <c r="B361">
        <f t="shared" si="4"/>
        <v>52</v>
      </c>
    </row>
    <row r="362" spans="1:2" x14ac:dyDescent="0.25">
      <c r="A362" s="125">
        <v>46470</v>
      </c>
      <c r="B362">
        <f t="shared" si="4"/>
        <v>52</v>
      </c>
    </row>
    <row r="363" spans="1:2" x14ac:dyDescent="0.25">
      <c r="A363" s="125">
        <v>46471</v>
      </c>
      <c r="B363">
        <f t="shared" si="4"/>
        <v>52</v>
      </c>
    </row>
    <row r="364" spans="1:2" x14ac:dyDescent="0.25">
      <c r="A364" s="125">
        <v>46472</v>
      </c>
      <c r="B364">
        <f t="shared" si="4"/>
        <v>52</v>
      </c>
    </row>
    <row r="365" spans="1:2" x14ac:dyDescent="0.25">
      <c r="A365" s="125">
        <v>46473</v>
      </c>
      <c r="B365">
        <f t="shared" si="4"/>
        <v>53</v>
      </c>
    </row>
    <row r="366" spans="1:2" x14ac:dyDescent="0.25">
      <c r="A366" s="125">
        <v>46474</v>
      </c>
      <c r="B366">
        <f t="shared" si="4"/>
        <v>53</v>
      </c>
    </row>
    <row r="367" spans="1:2" x14ac:dyDescent="0.25">
      <c r="A367" s="125">
        <v>46475</v>
      </c>
      <c r="B367">
        <f t="shared" si="4"/>
        <v>53</v>
      </c>
    </row>
    <row r="368" spans="1:2" x14ac:dyDescent="0.25">
      <c r="A368" s="125">
        <v>46476</v>
      </c>
      <c r="B368">
        <f t="shared" si="4"/>
        <v>53</v>
      </c>
    </row>
    <row r="369" spans="1:2" x14ac:dyDescent="0.25">
      <c r="A369" s="125">
        <v>46477</v>
      </c>
      <c r="B369">
        <f t="shared" si="4"/>
        <v>53</v>
      </c>
    </row>
    <row r="370" spans="1:2" x14ac:dyDescent="0.25">
      <c r="A370" s="125">
        <v>46478</v>
      </c>
      <c r="B370">
        <f t="shared" si="4"/>
        <v>53</v>
      </c>
    </row>
    <row r="371" spans="1:2" x14ac:dyDescent="0.25">
      <c r="A371" s="125">
        <v>46479</v>
      </c>
      <c r="B371">
        <f t="shared" si="4"/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EB21-C8CC-4529-AB0C-8588944E68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91C6-4B77-428C-9AAA-BC9D83C95B42}">
  <dimension ref="A1:F45"/>
  <sheetViews>
    <sheetView workbookViewId="0">
      <selection activeCell="B17" sqref="B17"/>
    </sheetView>
  </sheetViews>
  <sheetFormatPr defaultRowHeight="15" x14ac:dyDescent="0.25"/>
  <cols>
    <col min="1" max="1" width="11.28515625" bestFit="1" customWidth="1"/>
    <col min="2" max="2" width="28.5703125" bestFit="1" customWidth="1"/>
    <col min="3" max="3" width="10" customWidth="1"/>
    <col min="4" max="4" width="16.85546875" customWidth="1"/>
    <col min="5" max="5" width="13" customWidth="1"/>
  </cols>
  <sheetData>
    <row r="1" spans="1:6" ht="15.75" thickBot="1" x14ac:dyDescent="0.3"/>
    <row r="2" spans="1:6" x14ac:dyDescent="0.25">
      <c r="A2" s="39" t="s">
        <v>28</v>
      </c>
      <c r="B2" s="40" t="s">
        <v>29</v>
      </c>
      <c r="C2" s="40" t="s">
        <v>30</v>
      </c>
      <c r="D2" s="41" t="s">
        <v>31</v>
      </c>
      <c r="E2" s="42"/>
      <c r="F2" s="43"/>
    </row>
    <row r="3" spans="1:6" x14ac:dyDescent="0.25">
      <c r="A3" s="44"/>
      <c r="F3" s="45"/>
    </row>
    <row r="4" spans="1:6" x14ac:dyDescent="0.25">
      <c r="A4" s="44"/>
      <c r="B4" s="5" t="s">
        <v>32</v>
      </c>
      <c r="C4" s="71">
        <v>130</v>
      </c>
      <c r="D4" s="38">
        <v>136.87</v>
      </c>
      <c r="E4" t="s">
        <v>54</v>
      </c>
      <c r="F4" s="45"/>
    </row>
    <row r="5" spans="1:6" x14ac:dyDescent="0.25">
      <c r="A5" s="44"/>
      <c r="B5" s="5" t="s">
        <v>33</v>
      </c>
      <c r="C5" s="71">
        <v>320</v>
      </c>
      <c r="D5" s="38">
        <v>336.91</v>
      </c>
      <c r="E5" s="1" t="s">
        <v>54</v>
      </c>
      <c r="F5" s="45"/>
    </row>
    <row r="6" spans="1:6" x14ac:dyDescent="0.25">
      <c r="A6" s="44"/>
      <c r="B6" s="5" t="s">
        <v>34</v>
      </c>
      <c r="C6" s="71">
        <v>130</v>
      </c>
      <c r="D6" s="38">
        <v>136.87</v>
      </c>
      <c r="E6" s="1" t="s">
        <v>54</v>
      </c>
      <c r="F6" s="45"/>
    </row>
    <row r="7" spans="1:6" x14ac:dyDescent="0.25">
      <c r="A7" s="44"/>
      <c r="B7" s="5" t="s">
        <v>35</v>
      </c>
      <c r="C7" s="71">
        <v>170</v>
      </c>
      <c r="D7" s="38">
        <v>178.98</v>
      </c>
      <c r="E7" s="1" t="s">
        <v>54</v>
      </c>
      <c r="F7" s="45"/>
    </row>
    <row r="8" spans="1:6" x14ac:dyDescent="0.25">
      <c r="A8" s="44"/>
      <c r="B8" s="5" t="s">
        <v>36</v>
      </c>
      <c r="C8" s="71">
        <v>290</v>
      </c>
      <c r="D8" s="38">
        <v>305.33</v>
      </c>
      <c r="E8" s="1" t="s">
        <v>54</v>
      </c>
      <c r="F8" s="45"/>
    </row>
    <row r="9" spans="1:6" x14ac:dyDescent="0.25">
      <c r="A9" s="44"/>
      <c r="B9" s="5" t="s">
        <v>37</v>
      </c>
      <c r="C9" s="71">
        <v>290</v>
      </c>
      <c r="D9" s="5"/>
      <c r="E9" s="1" t="s">
        <v>54</v>
      </c>
      <c r="F9" s="45"/>
    </row>
    <row r="10" spans="1:6" x14ac:dyDescent="0.25">
      <c r="A10" s="44"/>
      <c r="B10" s="5" t="s">
        <v>38</v>
      </c>
      <c r="C10" s="71">
        <v>380</v>
      </c>
      <c r="D10" s="5"/>
      <c r="E10" s="1" t="s">
        <v>54</v>
      </c>
      <c r="F10" s="45"/>
    </row>
    <row r="11" spans="1:6" x14ac:dyDescent="0.25">
      <c r="A11" s="44"/>
      <c r="B11" s="5" t="s">
        <v>39</v>
      </c>
      <c r="C11" s="71">
        <v>390</v>
      </c>
      <c r="D11" s="38">
        <v>410.61</v>
      </c>
      <c r="E11" s="1" t="s">
        <v>54</v>
      </c>
      <c r="F11" s="45"/>
    </row>
    <row r="12" spans="1:6" x14ac:dyDescent="0.25">
      <c r="A12" s="44"/>
      <c r="B12" s="5" t="s">
        <v>40</v>
      </c>
      <c r="C12" s="71">
        <v>690</v>
      </c>
      <c r="D12" s="5"/>
      <c r="E12" s="1" t="s">
        <v>54</v>
      </c>
      <c r="F12" s="45"/>
    </row>
    <row r="13" spans="1:6" ht="15.75" thickBot="1" x14ac:dyDescent="0.3">
      <c r="A13" s="46"/>
      <c r="B13" s="47"/>
      <c r="C13" s="47"/>
      <c r="D13" s="47"/>
      <c r="E13" s="47"/>
      <c r="F13" s="48"/>
    </row>
    <row r="14" spans="1:6" ht="15.75" thickBot="1" x14ac:dyDescent="0.3"/>
    <row r="15" spans="1:6" x14ac:dyDescent="0.25">
      <c r="A15" s="39" t="s">
        <v>41</v>
      </c>
      <c r="B15" s="50" t="s">
        <v>42</v>
      </c>
      <c r="C15" s="51"/>
      <c r="D15" s="42"/>
      <c r="E15" s="42"/>
      <c r="F15" s="43"/>
    </row>
    <row r="16" spans="1:6" x14ac:dyDescent="0.25">
      <c r="A16" s="44"/>
      <c r="B16" s="37"/>
      <c r="C16" s="37"/>
      <c r="F16" s="45"/>
    </row>
    <row r="17" spans="1:6" x14ac:dyDescent="0.25">
      <c r="A17" s="44"/>
      <c r="B17" s="5" t="s">
        <v>43</v>
      </c>
      <c r="C17" s="38">
        <v>457.13</v>
      </c>
      <c r="D17" s="52" t="s">
        <v>49</v>
      </c>
      <c r="F17" s="45"/>
    </row>
    <row r="18" spans="1:6" x14ac:dyDescent="0.25">
      <c r="A18" s="44"/>
      <c r="B18" s="5" t="s">
        <v>44</v>
      </c>
      <c r="C18" s="38">
        <v>408.15</v>
      </c>
      <c r="D18" s="52" t="s">
        <v>49</v>
      </c>
      <c r="F18" s="45"/>
    </row>
    <row r="19" spans="1:6" x14ac:dyDescent="0.25">
      <c r="A19" s="44"/>
      <c r="B19" s="5" t="s">
        <v>45</v>
      </c>
      <c r="C19" s="38">
        <v>299.31</v>
      </c>
      <c r="D19" s="52" t="s">
        <v>49</v>
      </c>
      <c r="F19" s="45"/>
    </row>
    <row r="20" spans="1:6" x14ac:dyDescent="0.25">
      <c r="A20" s="44"/>
      <c r="B20" s="5" t="s">
        <v>46</v>
      </c>
      <c r="C20" s="38">
        <v>270.38</v>
      </c>
      <c r="D20" s="52" t="s">
        <v>49</v>
      </c>
      <c r="F20" s="45"/>
    </row>
    <row r="21" spans="1:6" x14ac:dyDescent="0.25">
      <c r="A21" s="44"/>
      <c r="B21" s="5" t="s">
        <v>47</v>
      </c>
      <c r="C21" s="38">
        <v>408.15</v>
      </c>
      <c r="D21" s="52" t="s">
        <v>49</v>
      </c>
      <c r="F21" s="45"/>
    </row>
    <row r="22" spans="1:6" x14ac:dyDescent="0.25">
      <c r="A22" s="44"/>
      <c r="B22" s="5" t="s">
        <v>48</v>
      </c>
      <c r="C22" s="38">
        <v>261.20999999999998</v>
      </c>
      <c r="D22" s="52" t="s">
        <v>49</v>
      </c>
      <c r="F22" s="45"/>
    </row>
    <row r="23" spans="1:6" x14ac:dyDescent="0.25">
      <c r="A23" s="44"/>
      <c r="B23" s="69" t="s">
        <v>74</v>
      </c>
      <c r="C23" s="70">
        <v>462.64</v>
      </c>
      <c r="D23" s="52" t="s">
        <v>49</v>
      </c>
      <c r="F23" s="45"/>
    </row>
    <row r="24" spans="1:6" ht="15.75" thickBot="1" x14ac:dyDescent="0.3">
      <c r="A24" s="46"/>
      <c r="B24" s="53"/>
      <c r="C24" s="53"/>
      <c r="D24" s="47"/>
      <c r="E24" s="47"/>
      <c r="F24" s="48"/>
    </row>
    <row r="25" spans="1:6" x14ac:dyDescent="0.25">
      <c r="B25" s="49"/>
      <c r="C25" s="49"/>
    </row>
    <row r="26" spans="1:6" ht="15.75" thickBot="1" x14ac:dyDescent="0.3"/>
    <row r="27" spans="1:6" x14ac:dyDescent="0.25">
      <c r="A27" s="39" t="s">
        <v>50</v>
      </c>
      <c r="B27" s="40" t="s">
        <v>29</v>
      </c>
      <c r="C27" s="40" t="s">
        <v>30</v>
      </c>
      <c r="D27" s="42"/>
      <c r="E27" s="40" t="s">
        <v>69</v>
      </c>
      <c r="F27" s="43"/>
    </row>
    <row r="28" spans="1:6" x14ac:dyDescent="0.25">
      <c r="A28" s="64"/>
      <c r="B28" t="s">
        <v>72</v>
      </c>
      <c r="C28" s="65">
        <v>408.15</v>
      </c>
      <c r="D28" s="1" t="s">
        <v>55</v>
      </c>
      <c r="E28" s="66">
        <v>3151.76</v>
      </c>
      <c r="F28" s="45"/>
    </row>
    <row r="29" spans="1:6" x14ac:dyDescent="0.25">
      <c r="A29" s="64"/>
      <c r="B29" t="s">
        <v>71</v>
      </c>
      <c r="C29" s="65">
        <v>288.36</v>
      </c>
      <c r="D29" s="1" t="s">
        <v>55</v>
      </c>
      <c r="E29" s="66">
        <v>3151.76</v>
      </c>
      <c r="F29" s="45"/>
    </row>
    <row r="30" spans="1:6" ht="15.75" thickBot="1" x14ac:dyDescent="0.3">
      <c r="A30" s="46" t="s">
        <v>70</v>
      </c>
      <c r="B30" s="67" t="s">
        <v>51</v>
      </c>
      <c r="C30" s="68">
        <v>252.68</v>
      </c>
      <c r="D30" s="54" t="s">
        <v>55</v>
      </c>
      <c r="E30" s="61">
        <v>3151.76</v>
      </c>
      <c r="F30" s="48"/>
    </row>
    <row r="31" spans="1:6" x14ac:dyDescent="0.25">
      <c r="A31" s="44"/>
      <c r="C31" s="66"/>
      <c r="D31" s="1"/>
      <c r="E31" s="66"/>
      <c r="F31" s="45"/>
    </row>
    <row r="32" spans="1:6" ht="15.75" thickBot="1" x14ac:dyDescent="0.3">
      <c r="A32" s="44"/>
      <c r="C32" s="66"/>
      <c r="D32" s="1"/>
      <c r="E32" s="66"/>
      <c r="F32" s="45"/>
    </row>
    <row r="33" spans="1:6" x14ac:dyDescent="0.25">
      <c r="A33" s="39" t="s">
        <v>52</v>
      </c>
      <c r="B33" s="40" t="s">
        <v>29</v>
      </c>
      <c r="C33" s="40" t="s">
        <v>30</v>
      </c>
      <c r="D33" s="55" t="s">
        <v>53</v>
      </c>
      <c r="E33" s="42"/>
      <c r="F33" s="43"/>
    </row>
    <row r="34" spans="1:6" ht="15.75" thickBot="1" x14ac:dyDescent="0.3">
      <c r="A34" s="46"/>
      <c r="B34" s="47" t="s">
        <v>56</v>
      </c>
      <c r="C34" s="47"/>
      <c r="D34" s="47"/>
      <c r="E34" s="47"/>
      <c r="F34" s="48"/>
    </row>
    <row r="35" spans="1:6" x14ac:dyDescent="0.25">
      <c r="A35" s="60"/>
      <c r="B35" s="42"/>
      <c r="C35" s="42"/>
      <c r="D35" s="43"/>
    </row>
    <row r="36" spans="1:6" ht="15.75" x14ac:dyDescent="0.25">
      <c r="A36" s="56" t="s">
        <v>57</v>
      </c>
      <c r="B36" s="57"/>
      <c r="C36" s="57"/>
      <c r="D36" s="45"/>
    </row>
    <row r="37" spans="1:6" ht="15.75" x14ac:dyDescent="0.25">
      <c r="A37" s="56" t="s">
        <v>58</v>
      </c>
      <c r="B37" s="57"/>
      <c r="C37" s="57" t="s">
        <v>59</v>
      </c>
      <c r="D37" s="45"/>
    </row>
    <row r="38" spans="1:6" ht="15.75" x14ac:dyDescent="0.25">
      <c r="A38" s="56" t="s">
        <v>60</v>
      </c>
      <c r="B38" s="57"/>
      <c r="C38" s="57" t="s">
        <v>61</v>
      </c>
      <c r="D38" s="45"/>
    </row>
    <row r="39" spans="1:6" ht="15.75" x14ac:dyDescent="0.25">
      <c r="A39" s="56" t="s">
        <v>62</v>
      </c>
      <c r="B39" s="57"/>
      <c r="C39" s="57"/>
      <c r="D39" s="45"/>
    </row>
    <row r="40" spans="1:6" ht="15.75" x14ac:dyDescent="0.25">
      <c r="A40" s="56" t="s">
        <v>63</v>
      </c>
      <c r="B40" s="57"/>
      <c r="C40" s="57"/>
      <c r="D40" s="45"/>
    </row>
    <row r="41" spans="1:6" ht="15.75" x14ac:dyDescent="0.25">
      <c r="A41" s="56" t="s">
        <v>64</v>
      </c>
      <c r="B41" s="57"/>
      <c r="C41" s="57"/>
      <c r="D41" s="45"/>
    </row>
    <row r="42" spans="1:6" ht="15.75" x14ac:dyDescent="0.25">
      <c r="A42" s="56" t="s">
        <v>65</v>
      </c>
      <c r="B42" s="57"/>
      <c r="C42" s="57"/>
      <c r="D42" s="45"/>
    </row>
    <row r="43" spans="1:6" ht="15.75" x14ac:dyDescent="0.25">
      <c r="A43" s="56" t="s">
        <v>66</v>
      </c>
      <c r="B43" s="57"/>
      <c r="C43" s="57"/>
      <c r="D43" s="45"/>
    </row>
    <row r="44" spans="1:6" ht="15.75" x14ac:dyDescent="0.25">
      <c r="A44" s="56" t="s">
        <v>67</v>
      </c>
      <c r="B44" s="57"/>
      <c r="C44" s="57"/>
      <c r="D44" s="45"/>
    </row>
    <row r="45" spans="1:6" ht="16.5" thickBot="1" x14ac:dyDescent="0.3">
      <c r="A45" s="58" t="s">
        <v>68</v>
      </c>
      <c r="B45" s="59"/>
      <c r="C45" s="59"/>
      <c r="D45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Collections</vt:lpstr>
      <vt:lpstr>SLH Fuel Surcharge</vt:lpstr>
      <vt:lpstr>date summary</vt:lpstr>
      <vt:lpstr>Sheet1</vt:lpstr>
      <vt:lpstr>Charges</vt:lpstr>
    </vt:vector>
  </TitlesOfParts>
  <Company>Natures Way Foods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 Cutting</dc:creator>
  <cp:lastModifiedBy>Mariusz Urbanski</cp:lastModifiedBy>
  <dcterms:created xsi:type="dcterms:W3CDTF">2023-09-13T06:29:15Z</dcterms:created>
  <dcterms:modified xsi:type="dcterms:W3CDTF">2026-10-16T12:24:07Z</dcterms:modified>
</cp:coreProperties>
</file>